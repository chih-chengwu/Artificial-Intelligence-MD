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慈科大\"/>
    </mc:Choice>
  </mc:AlternateContent>
  <bookViews>
    <workbookView xWindow="0" yWindow="0" windowWidth="23040" windowHeight="9012"/>
  </bookViews>
  <sheets>
    <sheet name="1.(50)_神經網路_分類_期末考題目 陽光旅行社" sheetId="2" r:id="rId1"/>
    <sheet name="2.(3５)類神經網路申論題" sheetId="4" r:id="rId2"/>
    <sheet name="3.(15)KNN及類神經網路的不同" sheetId="6" r:id="rId3"/>
    <sheet name="附圖1" sheetId="3" r:id="rId4"/>
    <sheet name="附圖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4" l="1"/>
  <c r="A6" i="4"/>
  <c r="P18" i="2" l="1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P24" i="2"/>
  <c r="Q24" i="2"/>
  <c r="R24" i="2"/>
  <c r="S24" i="2"/>
  <c r="P25" i="2"/>
  <c r="Q25" i="2"/>
  <c r="R25" i="2"/>
  <c r="S25" i="2"/>
  <c r="P26" i="2"/>
  <c r="Q26" i="2"/>
  <c r="R26" i="2"/>
  <c r="S26" i="2"/>
  <c r="P27" i="2"/>
  <c r="Q27" i="2"/>
  <c r="R27" i="2"/>
  <c r="S27" i="2"/>
  <c r="P28" i="2"/>
  <c r="Q28" i="2"/>
  <c r="R28" i="2"/>
  <c r="S28" i="2"/>
  <c r="Q17" i="2"/>
  <c r="R17" i="2"/>
  <c r="S17" i="2"/>
  <c r="P17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Q12" i="2"/>
  <c r="R12" i="2"/>
  <c r="S12" i="2"/>
  <c r="Q13" i="2"/>
  <c r="R13" i="2"/>
  <c r="S13" i="2"/>
  <c r="Q14" i="2"/>
  <c r="R14" i="2"/>
  <c r="S14" i="2"/>
  <c r="R3" i="2"/>
  <c r="S3" i="2"/>
  <c r="Q3" i="2"/>
  <c r="P4" i="2"/>
  <c r="P5" i="2"/>
  <c r="P6" i="2"/>
  <c r="P7" i="2"/>
  <c r="P8" i="2"/>
  <c r="P9" i="2"/>
  <c r="P10" i="2"/>
  <c r="P11" i="2"/>
  <c r="P12" i="2"/>
  <c r="P13" i="2"/>
  <c r="P14" i="2"/>
  <c r="P3" i="2"/>
  <c r="I18" i="2"/>
  <c r="I19" i="2"/>
  <c r="I20" i="2"/>
  <c r="I21" i="2"/>
  <c r="I22" i="2"/>
  <c r="I23" i="2"/>
  <c r="I24" i="2"/>
  <c r="I25" i="2"/>
  <c r="I26" i="2"/>
  <c r="I27" i="2"/>
  <c r="I28" i="2"/>
  <c r="I17" i="2"/>
  <c r="H18" i="2"/>
  <c r="H19" i="2"/>
  <c r="H20" i="2"/>
  <c r="H21" i="2"/>
  <c r="H22" i="2"/>
  <c r="H23" i="2"/>
  <c r="H24" i="2"/>
  <c r="H25" i="2"/>
  <c r="H26" i="2"/>
  <c r="H27" i="2"/>
  <c r="H28" i="2"/>
  <c r="H17" i="2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F18" i="2"/>
  <c r="E18" i="2"/>
  <c r="F17" i="2"/>
  <c r="E17" i="2"/>
  <c r="F4" i="2"/>
  <c r="E4" i="2"/>
  <c r="F3" i="2"/>
  <c r="E3" i="2"/>
  <c r="X20" i="2" l="1"/>
  <c r="Z20" i="2" s="1"/>
  <c r="X21" i="2"/>
  <c r="Z21" i="2" s="1"/>
  <c r="X25" i="2"/>
  <c r="Z25" i="2" s="1"/>
  <c r="X28" i="2"/>
  <c r="Z28" i="2" s="1"/>
  <c r="X3" i="2"/>
  <c r="Z3" i="2" s="1"/>
  <c r="X10" i="2"/>
  <c r="Z10" i="2" s="1"/>
  <c r="X12" i="2"/>
  <c r="Z12" i="2" s="1"/>
  <c r="X13" i="2"/>
  <c r="Z13" i="2" s="1"/>
  <c r="X4" i="2"/>
  <c r="Z4" i="2" s="1"/>
  <c r="X8" i="2"/>
  <c r="Z8" i="2" s="1"/>
  <c r="X11" i="2"/>
  <c r="Z11" i="2" s="1"/>
  <c r="X6" i="2"/>
  <c r="Z6" i="2" s="1"/>
  <c r="X9" i="2"/>
  <c r="Z9" i="2" s="1"/>
  <c r="X19" i="2"/>
  <c r="Z19" i="2" s="1"/>
  <c r="X27" i="2"/>
  <c r="Z27" i="2" s="1"/>
  <c r="X24" i="2"/>
  <c r="Z24" i="2" s="1"/>
  <c r="X26" i="2"/>
  <c r="Z26" i="2" s="1"/>
  <c r="X22" i="2"/>
  <c r="Z22" i="2" s="1"/>
  <c r="X18" i="2"/>
  <c r="Z18" i="2" s="1"/>
  <c r="X23" i="2"/>
  <c r="Z23" i="2" s="1"/>
  <c r="X17" i="2"/>
  <c r="Z17" i="2" s="1"/>
  <c r="X5" i="2"/>
  <c r="Z5" i="2" s="1"/>
  <c r="X7" i="2"/>
  <c r="Z7" i="2" s="1"/>
  <c r="X14" i="2"/>
  <c r="Z14" i="2" s="1"/>
  <c r="AB24" i="2" l="1"/>
  <c r="AB17" i="2"/>
  <c r="AB3" i="2"/>
  <c r="AB10" i="2"/>
</calcChain>
</file>

<file path=xl/sharedStrings.xml><?xml version="1.0" encoding="utf-8"?>
<sst xmlns="http://schemas.openxmlformats.org/spreadsheetml/2006/main" count="74" uniqueCount="56">
  <si>
    <t>Age</t>
    <phoneticPr fontId="2" type="noConversion"/>
  </si>
  <si>
    <t>樣本</t>
    <phoneticPr fontId="1" type="noConversion"/>
  </si>
  <si>
    <t>平均值/標準差</t>
    <phoneticPr fontId="1" type="noConversion"/>
  </si>
  <si>
    <t>資料正規化</t>
    <phoneticPr fontId="1" type="noConversion"/>
  </si>
  <si>
    <t>萃取係數</t>
    <phoneticPr fontId="1" type="noConversion"/>
  </si>
  <si>
    <t>依據萃取系數-(萃)取出每一樣本, 4個角度的特徵值</t>
    <phoneticPr fontId="1" type="noConversion"/>
  </si>
  <si>
    <t>權重</t>
    <phoneticPr fontId="1" type="noConversion"/>
  </si>
  <si>
    <t>Outcome</t>
    <phoneticPr fontId="1" type="noConversion"/>
  </si>
  <si>
    <t>誤判值</t>
    <phoneticPr fontId="1" type="noConversion"/>
  </si>
  <si>
    <t>訓練誤判率</t>
    <phoneticPr fontId="1" type="noConversion"/>
  </si>
  <si>
    <t>Income</t>
    <phoneticPr fontId="2" type="noConversion"/>
  </si>
  <si>
    <t>Income</t>
    <phoneticPr fontId="2" type="noConversion"/>
  </si>
  <si>
    <t>參加否</t>
    <phoneticPr fontId="2" type="noConversion"/>
  </si>
  <si>
    <t>Age</t>
    <phoneticPr fontId="1" type="noConversion"/>
  </si>
  <si>
    <t>Income</t>
    <phoneticPr fontId="1" type="noConversion"/>
  </si>
  <si>
    <t>Age</t>
    <phoneticPr fontId="1" type="noConversion"/>
  </si>
  <si>
    <t>H1</t>
  </si>
  <si>
    <t>H2</t>
  </si>
  <si>
    <t>H3</t>
  </si>
  <si>
    <t>H4</t>
  </si>
  <si>
    <t>average</t>
    <phoneticPr fontId="1" type="noConversion"/>
  </si>
  <si>
    <t>stdev</t>
    <phoneticPr fontId="1" type="noConversion"/>
  </si>
  <si>
    <t>stdev</t>
    <phoneticPr fontId="1" type="noConversion"/>
  </si>
  <si>
    <t>Theta</t>
    <phoneticPr fontId="2" type="noConversion"/>
  </si>
  <si>
    <t>資料正規化</t>
    <phoneticPr fontId="1" type="noConversion"/>
  </si>
  <si>
    <t>萃取係數</t>
    <phoneticPr fontId="1" type="noConversion"/>
  </si>
  <si>
    <t>(萃)取出每一樣本, 4個角度的特徵值</t>
    <phoneticPr fontId="1" type="noConversion"/>
  </si>
  <si>
    <t>Outcome</t>
    <phoneticPr fontId="1" type="noConversion"/>
  </si>
  <si>
    <t>測試誤判率</t>
    <phoneticPr fontId="1" type="noConversion"/>
  </si>
  <si>
    <t>Age</t>
    <phoneticPr fontId="2" type="noConversion"/>
  </si>
  <si>
    <t>Theta</t>
    <phoneticPr fontId="2" type="noConversion"/>
  </si>
  <si>
    <t>預測的分數</t>
    <phoneticPr fontId="2" type="noConversion"/>
  </si>
  <si>
    <t>訓練誤差平方和</t>
  </si>
  <si>
    <t>預測的分數</t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</si>
  <si>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</si>
  <si>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</si>
  <si>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</si>
  <si>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</si>
  <si>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</si>
  <si>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</si>
  <si>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</si>
  <si>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</si>
  <si>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</si>
  <si>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</si>
  <si>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</si>
  <si>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</si>
  <si>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</si>
  <si>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</si>
  <si>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</si>
  <si>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</si>
  <si>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t>題目1:在類神經網路中，權重W在初始化時都是隨機給予，因此一開始時誤差很大，需要經過多次的訓練調整參數W來減少誤差提高精確率，評估:損失函數(Loss)大都使用 Mean Square Error 來計算，而且訓練時大都使用梯度下降法(Gradient Descent)來尋找最佳的參數值以得到最小的損失函數 (Loss) 如附圖１，假設我們只有使用一個權重參數W，請說明為什麼 Loss(W) 跟W的關係是曲線的關係? (20)</t>
    <phoneticPr fontId="1" type="noConversion"/>
  </si>
  <si>
    <r>
      <t>題目2:如附圖2，在使用梯度下降法時, 假設 L(W)=MSE = 8W</t>
    </r>
    <r>
      <rPr>
        <vertAlign val="superscript"/>
        <sz val="12"/>
        <color rgb="FF0000FF"/>
        <rFont val="標楷體"/>
        <family val="4"/>
        <charset val="136"/>
      </rPr>
      <t xml:space="preserve">2 </t>
    </r>
    <r>
      <rPr>
        <sz val="12"/>
        <color rgb="FF0000FF"/>
        <rFont val="標楷體"/>
        <family val="4"/>
        <charset val="136"/>
      </rPr>
      <t>+ 0.8  、且超參數</t>
    </r>
    <r>
      <rPr>
        <b/>
        <sz val="12"/>
        <color rgb="FFFF0000"/>
        <rFont val="Times New Roman"/>
        <family val="1"/>
      </rPr>
      <t>Ƞ</t>
    </r>
    <r>
      <rPr>
        <sz val="12"/>
        <color rgb="FF0000FF"/>
        <rFont val="標楷體"/>
        <family val="4"/>
        <charset val="136"/>
      </rPr>
      <t xml:space="preserve"> = 0.02，又假設第一次訓練時Ｗ1＝-2.9，請問要訓練第3次時Ｗ3等於多少 （需附上：L(W)的曲線圖、計算過程及說明）(15)</t>
    </r>
    <phoneticPr fontId="1" type="noConversion"/>
  </si>
  <si>
    <t>執行梯度下降法
步驟1：
模型預測：
步驟2：
計算誤差：
可以得知Loss(W)為經過W的平方取得，故為曲線的關係。</t>
    <phoneticPr fontId="1" type="noConversion"/>
  </si>
  <si>
    <t>L'(W)=16W
W2=W1-η*L'(W)=-2.9-0.02*(16*-2.9)=-1.972 =&gt; L(W2)=31.910272
W3=W2-η*L'(W)=-1.972-0.02*(16*-1.972)=-1.34096 =&gt; L(W3)=15.18538977</t>
    <phoneticPr fontId="1" type="noConversion"/>
  </si>
  <si>
    <t xml:space="preserve">題目3: KNN及類神經網路兩種演算法，都是用來作分類，目的都是預測新樣本的值，請說明二者計算原理最大的不同是什麼? (15)
註:最近鄰居法分類法(Ｋ-Nearest-Neighbor,KNN) ； 類神經網路(Neural Network, NN) </t>
    <phoneticPr fontId="1" type="noConversion"/>
  </si>
  <si>
    <t>K近鄰演算法 (KNN)是指若一個資料在特徵空間中的k個最相似(也就是說特徵空間中最相鄰)的資料中的大多數屬於某一個類別，則這筆資料也屬於這個類別。KNN的計算是使用歐式距離算出資料的距離，歐式距離越小，表示資料越相似；類神經網路(NN)則是將一大堆的數據輸入神經網路中，讓電腦透過大量數據的訓練找出規律並自動學習，最後讓電腦能依據自動學習累積的經驗做出預測。用老師上課的範例來舉例:假設有20個樣本，用來訓練的有15個，要預測的有5個樣本。以KNN的方式做預測時，我們先將這15個樣本與要預測的5個樣本來算距離，找出最接近的距離，所以預測的結果跟訓練的樣本有很大的關係；使用類神經網路做預測的話，必須先訓練15筆，然後得到一個參數檔，所以當預測的5個樣本時，我們就是拿這個參數檔，所以不會用到前面的樣本資料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</si>
</sst>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00B0F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rgb="FFFF0000"/>
      <name val="新細明體"/>
      <family val="2"/>
      <charset val="136"/>
    </font>
    <font>
      <b/>
      <sz val="12"/>
      <color rgb="FF0000FF"/>
      <name val="新細明體"/>
      <family val="1"/>
      <charset val="136"/>
      <scheme val="minor"/>
    </font>
    <font>
      <sz val="12"/>
      <color rgb="FF0000FF"/>
      <name val="標楷體"/>
      <family val="4"/>
      <charset val="136"/>
    </font>
    <font>
      <vertAlign val="superscript"/>
      <sz val="12"/>
      <color rgb="FF0000FF"/>
      <name val="標楷體"/>
      <family val="4"/>
      <charset val="136"/>
    </font>
    <font>
      <b/>
      <sz val="12"/>
      <color rgb="FFFF0000"/>
      <name val="Times New Roman"/>
      <family val="1"/>
    </font>
    <font>
      <vertAlign val="subscript"/>
      <sz val="12"/>
      <color rgb="FFC00000"/>
      <name val="新細明體"/>
      <family val="1"/>
      <charset val="136"/>
      <scheme val="minor"/>
    </font>
    <font>
      <vertAlign val="subscript"/>
      <sz val="12"/>
      <color rgb="FF00B0F0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7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" fillId="0" borderId="0" xfId="1" applyFont="1">
      <alignment vertical="center"/>
    </xf>
    <xf numFmtId="0" fontId="14" fillId="0" borderId="0" xfId="0" applyFont="1">
      <alignment vertical="center"/>
    </xf>
    <xf numFmtId="0" fontId="0" fillId="5" borderId="0" xfId="0" applyFill="1">
      <alignment vertical="center"/>
    </xf>
    <xf numFmtId="0" fontId="8" fillId="0" borderId="1" xfId="0" applyFont="1" applyBorder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  <xf numFmtId="0" fontId="14" fillId="0" borderId="1" xfId="0" applyFont="1" applyBorder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1" applyFont="1">
      <alignment vertical="center"/>
    </xf>
    <xf numFmtId="0" fontId="0" fillId="4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5" fillId="0" borderId="0" xfId="1" applyFont="1" applyFill="1">
      <alignment vertical="center"/>
    </xf>
    <xf numFmtId="0" fontId="8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7" borderId="0" xfId="0" applyFont="1" applyFill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top" wrapText="1"/>
    </xf>
    <xf numFmtId="0" fontId="0" fillId="0" borderId="0" xfId="0" applyFont="1">
      <alignment vertical="center"/>
    </xf>
    <xf numFmtId="0" fontId="22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left" vertical="top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883920</xdr:colOff>
      <xdr:row>1</xdr:row>
      <xdr:rowOff>190500</xdr:rowOff>
    </xdr:from>
    <xdr:to>
      <xdr:col>0</xdr:col>
      <xdr:colOff>2579158</xdr:colOff>
      <xdr:row>1</xdr:row>
      <xdr:rowOff>885738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1043940"/>
          <a:ext cx="1695238" cy="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891540</xdr:colOff>
      <xdr:row>1</xdr:row>
      <xdr:rowOff>1120140</xdr:rowOff>
    </xdr:from>
    <xdr:to>
      <xdr:col>0</xdr:col>
      <xdr:colOff>3718560</xdr:colOff>
      <xdr:row>1</xdr:row>
      <xdr:rowOff>2003138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" y="1973580"/>
          <a:ext cx="2827020" cy="882998"/>
        </a:xfrm>
        <a:prstGeom prst="rect">
          <a:avLst/>
        </a:prstGeom>
      </xdr:spPr>
    </xdr:pic>
    <xdr:clientData/>
  </xdr:twoCellAnchor>
  <xdr:twoCellAnchor editAs="oneCell">
    <xdr:from>
      <xdr:col>0</xdr:col>
      <xdr:colOff>83128</xdr:colOff>
      <xdr:row>3</xdr:row>
      <xdr:rowOff>692729</xdr:rowOff>
    </xdr:from>
    <xdr:to>
      <xdr:col>0</xdr:col>
      <xdr:colOff>4105836</xdr:colOff>
      <xdr:row>3</xdr:row>
      <xdr:rowOff>4590091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128" y="4520658"/>
          <a:ext cx="4022708" cy="38973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456025</xdr:colOff>
      <xdr:row>26</xdr:row>
      <xdr:rowOff>30481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61625" cy="5379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323191</xdr:colOff>
      <xdr:row>27</xdr:row>
      <xdr:rowOff>182880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638390" cy="573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34"/>
  <sheetViews>
    <sheetView tabSelected="1" zoomScale="85" zoomScaleNormal="85" workbookViewId="0">
      <selection activeCell="AB12" sqref="AB12"/>
    </sheetView>
  </sheetViews>
  <sheetFormatPr defaultRowHeight="16.2"/>
  <cols>
    <col min="4" max="4" width="8.77734375" style="12"/>
    <col min="5" max="5" width="9.6640625" bestFit="1" customWidth="1"/>
    <col min="7" max="7" width="5" customWidth="1"/>
    <col min="10" max="10" width="8.77734375" style="4"/>
    <col min="11" max="11" width="5.109375" customWidth="1"/>
    <col min="12" max="12" width="5.21875" customWidth="1"/>
    <col min="13" max="13" width="5.109375" customWidth="1"/>
    <col min="14" max="14" width="5.77734375" customWidth="1"/>
    <col min="15" max="15" width="3.88671875" customWidth="1"/>
    <col min="16" max="16" width="12.21875" bestFit="1" customWidth="1"/>
    <col min="17" max="17" width="10.33203125" bestFit="1" customWidth="1"/>
    <col min="18" max="18" width="13.6640625" bestFit="1" customWidth="1"/>
    <col min="19" max="19" width="14.77734375" customWidth="1"/>
    <col min="20" max="20" width="3.88671875" customWidth="1"/>
    <col min="23" max="23" width="3.77734375" customWidth="1"/>
    <col min="24" max="24" width="13.33203125" bestFit="1" customWidth="1"/>
    <col min="25" max="25" width="4.109375" customWidth="1"/>
    <col min="26" max="26" width="7.44140625" customWidth="1"/>
    <col min="27" max="27" width="3.88671875" customWidth="1"/>
    <col min="28" max="28" width="16.88671875" customWidth="1"/>
  </cols>
  <sheetData>
    <row r="1" spans="1:28" s="2" customFormat="1">
      <c r="A1" s="35" t="s">
        <v>1</v>
      </c>
      <c r="B1" s="34"/>
      <c r="C1" s="34"/>
      <c r="D1" s="34" t="s">
        <v>2</v>
      </c>
      <c r="E1" s="34"/>
      <c r="F1" s="34"/>
      <c r="H1" s="34" t="s">
        <v>3</v>
      </c>
      <c r="I1" s="36"/>
      <c r="J1" s="24"/>
      <c r="K1" s="33" t="s">
        <v>4</v>
      </c>
      <c r="L1" s="34"/>
      <c r="M1" s="34"/>
      <c r="N1" s="34"/>
      <c r="P1" s="35" t="s">
        <v>5</v>
      </c>
      <c r="Q1" s="34"/>
      <c r="R1" s="34"/>
      <c r="S1" s="34"/>
      <c r="U1" s="33" t="s">
        <v>6</v>
      </c>
      <c r="V1" s="34"/>
      <c r="X1" s="5" t="s">
        <v>7</v>
      </c>
      <c r="Z1" s="5" t="s">
        <v>8</v>
      </c>
      <c r="AB1" s="25" t="s">
        <v>9</v>
      </c>
    </row>
    <row r="2" spans="1:28" s="6" customFormat="1" ht="20.399999999999999" thickBot="1">
      <c r="A2" s="6" t="s">
        <v>0</v>
      </c>
      <c r="B2" s="6" t="s">
        <v>11</v>
      </c>
      <c r="C2" s="7" t="s">
        <v>12</v>
      </c>
      <c r="D2" s="8"/>
      <c r="E2" s="6" t="s">
        <v>13</v>
      </c>
      <c r="F2" s="6" t="s">
        <v>14</v>
      </c>
      <c r="H2" s="6" t="s">
        <v>15</v>
      </c>
      <c r="I2" s="6" t="s">
        <v>14</v>
      </c>
      <c r="J2" s="8"/>
      <c r="K2" s="9" t="s">
        <v>16</v>
      </c>
      <c r="L2" s="9" t="s">
        <v>17</v>
      </c>
      <c r="M2" s="9" t="s">
        <v>18</v>
      </c>
      <c r="N2" s="9" t="s">
        <v>19</v>
      </c>
      <c r="P2" s="10" t="s">
        <v>34</v>
      </c>
      <c r="Q2" s="10" t="s">
        <v>41</v>
      </c>
      <c r="R2" s="10" t="s">
        <v>40</v>
      </c>
      <c r="S2" s="10" t="s">
        <v>39</v>
      </c>
      <c r="X2" s="7" t="s">
        <v>33</v>
      </c>
    </row>
    <row r="3" spans="1:28" ht="20.399999999999999" thickBot="1">
      <c r="A3" s="11">
        <v>48</v>
      </c>
      <c r="B3" s="11">
        <v>8</v>
      </c>
      <c r="C3" s="11">
        <v>1</v>
      </c>
      <c r="D3" s="12" t="s">
        <v>20</v>
      </c>
      <c r="E3" s="13">
        <f>AVERAGE(A3:A14)</f>
        <v>41.833333333333336</v>
      </c>
      <c r="F3" s="13">
        <f>AVERAGE(B3:B14)</f>
        <v>7</v>
      </c>
      <c r="H3" s="1">
        <f>(A3-$E$3)/$E$4</f>
        <v>0.3156769282447161</v>
      </c>
      <c r="I3" s="1">
        <f>(B3-$F$3)/$F$4</f>
        <v>0.2472066162365221</v>
      </c>
      <c r="K3" s="11">
        <v>-1</v>
      </c>
      <c r="L3" s="11">
        <v>3</v>
      </c>
      <c r="M3" s="11">
        <v>5.0999999999999996</v>
      </c>
      <c r="N3" s="11">
        <v>-5</v>
      </c>
      <c r="P3" s="1">
        <f>1/(1+EXP(-(MMULT($H3:$I3,K$3:K$4)-K$6)))</f>
        <v>6.7959760875665684E-4</v>
      </c>
      <c r="Q3" s="1">
        <f>1/(1+EXP(-(MMULT($H3:$I3,L$3:L$4)-L$6)))</f>
        <v>0.8145290466691707</v>
      </c>
      <c r="R3" s="1">
        <f t="shared" ref="R3:S3" si="0">1/(1+EXP(-(MMULT($H3:$I3,M$3:M$4)-M$6)))</f>
        <v>0.10270151371309641</v>
      </c>
      <c r="S3" s="1">
        <f t="shared" si="0"/>
        <v>4.0466585586414997E-4</v>
      </c>
      <c r="U3" s="14" t="s">
        <v>42</v>
      </c>
      <c r="V3" s="11">
        <v>-12</v>
      </c>
      <c r="X3" s="15">
        <f>1/(1+EXP(-(MMULT(P3:S3,V$3:V$6)-V$8)))</f>
        <v>0.94976146391245975</v>
      </c>
      <c r="Z3" s="15">
        <f>IF(OR(AND(C3=1,X3&lt;0.5),AND(C3=0,X3&gt;=0.5)),1,0)</f>
        <v>0</v>
      </c>
      <c r="AB3" s="16">
        <f>AVERAGE(Z3:Z14)</f>
        <v>8.3333333333333329E-2</v>
      </c>
    </row>
    <row r="4" spans="1:28" ht="20.399999999999999" thickBot="1">
      <c r="A4" s="11">
        <v>46</v>
      </c>
      <c r="B4" s="11">
        <v>6</v>
      </c>
      <c r="C4" s="11">
        <v>0</v>
      </c>
      <c r="D4" s="12" t="s">
        <v>22</v>
      </c>
      <c r="E4" s="13">
        <f>STDEV(A3:A14)</f>
        <v>19.534739839733231</v>
      </c>
      <c r="F4" s="13">
        <f>STDEV(B3:B14)</f>
        <v>4.0451991747794525</v>
      </c>
      <c r="H4" s="1">
        <f t="shared" ref="H4:H14" si="1">(A4-$E$3)/$E$4</f>
        <v>0.2132952217869703</v>
      </c>
      <c r="I4" s="1">
        <f t="shared" ref="I4:I14" si="2">(B4-$F$3)/$F$4</f>
        <v>-0.2472066162365221</v>
      </c>
      <c r="K4" s="11">
        <v>-8</v>
      </c>
      <c r="L4" s="11">
        <v>6.2</v>
      </c>
      <c r="M4" s="11">
        <v>0.9</v>
      </c>
      <c r="N4" s="11">
        <v>3.1</v>
      </c>
      <c r="P4" s="1">
        <f t="shared" ref="P4:P14" si="3">1/(1+EXP(-(MMULT($H4:$I4,K$3:K$4)-K$6)))</f>
        <v>3.7846252534677965E-2</v>
      </c>
      <c r="Q4" s="1">
        <f t="shared" ref="Q4:Q14" si="4">1/(1+EXP(-(MMULT($H4:$I4,L$3:L$4)-L$6)))</f>
        <v>0.13092607323031313</v>
      </c>
      <c r="R4" s="1">
        <f t="shared" ref="R4:R14" si="5">1/(1+EXP(-(MMULT($H4:$I4,M$3:M$4)-M$6)))</f>
        <v>4.1699177969579844E-2</v>
      </c>
      <c r="S4" s="1">
        <f t="shared" ref="S4:S14" si="6">1/(1+EXP(-(MMULT($H4:$I4,N$3:N$4)-N$6)))</f>
        <v>1.4584553504720952E-4</v>
      </c>
      <c r="U4" s="17" t="s">
        <v>43</v>
      </c>
      <c r="V4" s="11">
        <v>4</v>
      </c>
      <c r="X4" s="15">
        <f t="shared" ref="X4:X14" si="7">1/(1+EXP(-(MMULT(P4:S4,V$3:V$6)-V$8)))</f>
        <v>0.48589790492658413</v>
      </c>
      <c r="Z4" s="15">
        <f t="shared" ref="Z4:Z14" si="8">IF(OR(AND(C4=1,X4&lt;0.5),AND(C4=0,X4&gt;=0.5)),1,0)</f>
        <v>0</v>
      </c>
    </row>
    <row r="5" spans="1:28" ht="20.399999999999999" thickBot="1">
      <c r="A5" s="11">
        <v>65</v>
      </c>
      <c r="B5" s="11">
        <v>17</v>
      </c>
      <c r="C5" s="11">
        <v>0</v>
      </c>
      <c r="H5" s="1">
        <f t="shared" si="1"/>
        <v>1.1859214331355554</v>
      </c>
      <c r="I5" s="1">
        <f t="shared" si="2"/>
        <v>2.4720661623652211</v>
      </c>
      <c r="K5" s="18"/>
      <c r="L5" s="18"/>
      <c r="M5" s="18"/>
      <c r="N5" s="18"/>
      <c r="P5" s="1">
        <f t="shared" si="3"/>
        <v>5.3045788623157626E-12</v>
      </c>
      <c r="Q5" s="1">
        <f t="shared" si="4"/>
        <v>0.99999998290661896</v>
      </c>
      <c r="R5" s="1">
        <f t="shared" si="5"/>
        <v>0.9862525466074058</v>
      </c>
      <c r="S5" s="1">
        <f t="shared" si="6"/>
        <v>5.1366613074223938E-3</v>
      </c>
      <c r="U5" s="17" t="s">
        <v>44</v>
      </c>
      <c r="V5" s="11">
        <v>-3</v>
      </c>
      <c r="X5" s="15">
        <f t="shared" si="7"/>
        <v>0.73310279057132033</v>
      </c>
      <c r="Z5" s="15">
        <f t="shared" si="8"/>
        <v>1</v>
      </c>
    </row>
    <row r="6" spans="1:28" ht="20.399999999999999" thickBot="1">
      <c r="A6" s="11">
        <v>18</v>
      </c>
      <c r="B6" s="11">
        <v>5</v>
      </c>
      <c r="C6" s="11">
        <v>0</v>
      </c>
      <c r="H6" s="1">
        <f t="shared" si="1"/>
        <v>-1.2200486686214711</v>
      </c>
      <c r="I6" s="1">
        <f t="shared" si="2"/>
        <v>-0.4944132324730442</v>
      </c>
      <c r="J6" s="14" t="s">
        <v>23</v>
      </c>
      <c r="K6" s="11">
        <v>5</v>
      </c>
      <c r="L6" s="11">
        <v>1</v>
      </c>
      <c r="M6" s="11">
        <v>4</v>
      </c>
      <c r="N6" s="11">
        <v>7</v>
      </c>
      <c r="P6" s="1">
        <f t="shared" si="3"/>
        <v>0.54372664283597893</v>
      </c>
      <c r="Q6" s="1">
        <f t="shared" si="4"/>
        <v>4.4122775158790951E-4</v>
      </c>
      <c r="R6" s="1">
        <f t="shared" si="5"/>
        <v>2.3295661530725299E-5</v>
      </c>
      <c r="S6" s="1">
        <f t="shared" si="6"/>
        <v>8.0732370818167296E-2</v>
      </c>
      <c r="U6" s="17" t="s">
        <v>45</v>
      </c>
      <c r="V6" s="11">
        <v>-6</v>
      </c>
      <c r="X6" s="15">
        <f t="shared" si="7"/>
        <v>9.0432328319307127E-4</v>
      </c>
      <c r="Z6" s="15">
        <f t="shared" si="8"/>
        <v>0</v>
      </c>
    </row>
    <row r="7" spans="1:28" ht="16.8" thickBot="1">
      <c r="A7" s="11">
        <v>22</v>
      </c>
      <c r="B7" s="11">
        <v>3</v>
      </c>
      <c r="C7" s="11">
        <v>0</v>
      </c>
      <c r="H7" s="1">
        <f t="shared" si="1"/>
        <v>-1.0152852557059793</v>
      </c>
      <c r="I7" s="1">
        <f t="shared" si="2"/>
        <v>-0.98882646494608839</v>
      </c>
      <c r="P7" s="1">
        <f t="shared" si="3"/>
        <v>0.98065709137253976</v>
      </c>
      <c r="Q7" s="1">
        <f t="shared" si="4"/>
        <v>3.8049679371869729E-5</v>
      </c>
      <c r="R7" s="1">
        <f t="shared" si="5"/>
        <v>4.2417860707948324E-5</v>
      </c>
      <c r="S7" s="1">
        <f t="shared" si="6"/>
        <v>6.7668095166820569E-3</v>
      </c>
      <c r="U7" s="12"/>
      <c r="V7" s="18"/>
      <c r="X7" s="15">
        <f t="shared" si="7"/>
        <v>7.4412742789158377E-6</v>
      </c>
      <c r="Z7" s="15">
        <f t="shared" si="8"/>
        <v>0</v>
      </c>
    </row>
    <row r="8" spans="1:28" ht="16.8" thickBot="1">
      <c r="A8" s="11">
        <v>18</v>
      </c>
      <c r="B8" s="11">
        <v>3</v>
      </c>
      <c r="C8" s="11">
        <v>0</v>
      </c>
      <c r="H8" s="1">
        <f t="shared" si="1"/>
        <v>-1.2200486686214711</v>
      </c>
      <c r="I8" s="1">
        <f t="shared" si="2"/>
        <v>-0.98882646494608839</v>
      </c>
      <c r="P8" s="1">
        <f t="shared" si="3"/>
        <v>0.98418197012520137</v>
      </c>
      <c r="Q8" s="1">
        <f t="shared" si="4"/>
        <v>2.0586178068430426E-5</v>
      </c>
      <c r="R8" s="1">
        <f t="shared" si="5"/>
        <v>1.4928969699993531E-5</v>
      </c>
      <c r="S8" s="1">
        <f t="shared" si="6"/>
        <v>1.8612779298241743E-2</v>
      </c>
      <c r="U8" s="17" t="s">
        <v>23</v>
      </c>
      <c r="V8" s="11">
        <v>0</v>
      </c>
      <c r="X8" s="15">
        <f t="shared" si="7"/>
        <v>6.6437805052792368E-6</v>
      </c>
      <c r="Z8" s="15">
        <f t="shared" si="8"/>
        <v>0</v>
      </c>
    </row>
    <row r="9" spans="1:28">
      <c r="A9" s="11">
        <v>71</v>
      </c>
      <c r="B9" s="11">
        <v>2</v>
      </c>
      <c r="C9" s="11">
        <v>0</v>
      </c>
      <c r="H9" s="1">
        <f t="shared" si="1"/>
        <v>1.4930665525087929</v>
      </c>
      <c r="I9" s="1">
        <f t="shared" si="2"/>
        <v>-1.2360330811826106</v>
      </c>
      <c r="P9" s="1">
        <f t="shared" si="3"/>
        <v>0.96755412647190586</v>
      </c>
      <c r="Q9" s="1">
        <f t="shared" si="4"/>
        <v>1.5005704133035718E-2</v>
      </c>
      <c r="R9" s="1">
        <f t="shared" si="5"/>
        <v>0.92429657918289054</v>
      </c>
      <c r="S9" s="1">
        <f t="shared" si="6"/>
        <v>1.1316145501847162E-8</v>
      </c>
      <c r="X9" s="15">
        <f t="shared" si="7"/>
        <v>6.0169383047048737E-7</v>
      </c>
      <c r="Z9" s="15">
        <f t="shared" si="8"/>
        <v>0</v>
      </c>
      <c r="AB9" s="26" t="s">
        <v>32</v>
      </c>
    </row>
    <row r="10" spans="1:28">
      <c r="A10" s="11">
        <v>46</v>
      </c>
      <c r="B10" s="11">
        <v>9</v>
      </c>
      <c r="C10" s="11">
        <v>1</v>
      </c>
      <c r="H10" s="1">
        <f t="shared" si="1"/>
        <v>0.2132952217869703</v>
      </c>
      <c r="I10" s="1">
        <f t="shared" si="2"/>
        <v>0.4944132324730442</v>
      </c>
      <c r="P10" s="1">
        <f t="shared" si="3"/>
        <v>1.0425139267325234E-4</v>
      </c>
      <c r="Q10" s="1">
        <f t="shared" si="4"/>
        <v>0.93733558986903054</v>
      </c>
      <c r="R10" s="1">
        <f t="shared" si="5"/>
        <v>7.8188191391416015E-2</v>
      </c>
      <c r="S10" s="1">
        <f t="shared" si="6"/>
        <v>1.4513697514600603E-3</v>
      </c>
      <c r="X10" s="15">
        <f t="shared" si="7"/>
        <v>0.97082456105621351</v>
      </c>
      <c r="Z10" s="15">
        <f t="shared" si="8"/>
        <v>0</v>
      </c>
      <c r="AB10" s="15">
        <f>SUMXMY2(C3:C14,X3:X14)</f>
        <v>0.83788361786453003</v>
      </c>
    </row>
    <row r="11" spans="1:28">
      <c r="A11" s="11">
        <v>58</v>
      </c>
      <c r="B11" s="11">
        <v>9</v>
      </c>
      <c r="C11" s="11">
        <v>1</v>
      </c>
      <c r="H11" s="1">
        <f t="shared" si="1"/>
        <v>0.82758546053344517</v>
      </c>
      <c r="I11" s="1">
        <f t="shared" si="2"/>
        <v>0.4944132324730442</v>
      </c>
      <c r="P11" s="1">
        <f t="shared" si="3"/>
        <v>5.6405283363378388E-5</v>
      </c>
      <c r="Q11" s="1">
        <f t="shared" si="4"/>
        <v>0.98952380646189808</v>
      </c>
      <c r="R11" s="1">
        <f t="shared" si="5"/>
        <v>0.66053017775401845</v>
      </c>
      <c r="S11" s="1">
        <f t="shared" si="6"/>
        <v>6.7369803880663477E-5</v>
      </c>
      <c r="X11" s="15">
        <f t="shared" si="7"/>
        <v>0.8781924702837528</v>
      </c>
      <c r="Z11" s="15">
        <f t="shared" si="8"/>
        <v>0</v>
      </c>
    </row>
    <row r="12" spans="1:28">
      <c r="A12" s="11">
        <v>20</v>
      </c>
      <c r="B12" s="11">
        <v>5</v>
      </c>
      <c r="C12" s="11">
        <v>0</v>
      </c>
      <c r="H12" s="1">
        <f t="shared" si="1"/>
        <v>-1.1176669621637252</v>
      </c>
      <c r="I12" s="1">
        <f t="shared" si="2"/>
        <v>-0.4944132324730442</v>
      </c>
      <c r="P12" s="1">
        <f t="shared" si="3"/>
        <v>0.51823511432335034</v>
      </c>
      <c r="Q12" s="1">
        <f t="shared" si="4"/>
        <v>5.9977085824490224E-4</v>
      </c>
      <c r="R12" s="1">
        <f t="shared" si="5"/>
        <v>3.9267526257056672E-5</v>
      </c>
      <c r="S12" s="1">
        <f t="shared" si="6"/>
        <v>5.0004406726595819E-2</v>
      </c>
      <c r="X12" s="15">
        <f t="shared" si="7"/>
        <v>1.4765541590948963E-3</v>
      </c>
      <c r="Z12" s="15">
        <f t="shared" si="8"/>
        <v>0</v>
      </c>
    </row>
    <row r="13" spans="1:28">
      <c r="A13" s="11">
        <v>30</v>
      </c>
      <c r="B13" s="11">
        <v>9</v>
      </c>
      <c r="C13" s="11">
        <v>1</v>
      </c>
      <c r="H13" s="1">
        <f t="shared" si="1"/>
        <v>-0.60575842987499617</v>
      </c>
      <c r="I13" s="1">
        <f t="shared" si="2"/>
        <v>0.4944132324730442</v>
      </c>
      <c r="P13" s="1">
        <f t="shared" si="3"/>
        <v>2.3644760794178086E-4</v>
      </c>
      <c r="Q13" s="1">
        <f t="shared" si="4"/>
        <v>0.56170552938969809</v>
      </c>
      <c r="R13" s="1">
        <f t="shared" si="5"/>
        <v>1.2996028889197351E-3</v>
      </c>
      <c r="S13" s="1">
        <f t="shared" si="6"/>
        <v>8.0281618628951612E-2</v>
      </c>
      <c r="X13" s="15">
        <f t="shared" si="7"/>
        <v>0.85300868500906091</v>
      </c>
      <c r="Z13" s="15">
        <f t="shared" si="8"/>
        <v>0</v>
      </c>
    </row>
    <row r="14" spans="1:28">
      <c r="A14" s="11">
        <v>60</v>
      </c>
      <c r="B14" s="11">
        <v>8</v>
      </c>
      <c r="C14" s="11">
        <v>1</v>
      </c>
      <c r="H14" s="1">
        <f t="shared" si="1"/>
        <v>0.92996716699119097</v>
      </c>
      <c r="I14" s="1">
        <f t="shared" si="2"/>
        <v>0.2472066162365221</v>
      </c>
      <c r="P14" s="1">
        <f t="shared" si="3"/>
        <v>3.6779385315884267E-4</v>
      </c>
      <c r="Q14" s="1">
        <f t="shared" si="4"/>
        <v>0.96519545091740833</v>
      </c>
      <c r="R14" s="1">
        <f t="shared" si="5"/>
        <v>0.72418539404477789</v>
      </c>
      <c r="S14" s="1">
        <f t="shared" si="6"/>
        <v>1.8765056961647903E-5</v>
      </c>
      <c r="X14" s="15">
        <f t="shared" si="7"/>
        <v>0.84339378533325138</v>
      </c>
      <c r="Z14" s="15">
        <f t="shared" si="8"/>
        <v>0</v>
      </c>
    </row>
    <row r="15" spans="1:28" s="21" customFormat="1">
      <c r="A15" s="35" t="s">
        <v>1</v>
      </c>
      <c r="B15" s="34"/>
      <c r="C15" s="34"/>
      <c r="D15" s="34" t="s">
        <v>2</v>
      </c>
      <c r="E15" s="34"/>
      <c r="F15" s="34"/>
      <c r="H15" s="34" t="s">
        <v>24</v>
      </c>
      <c r="I15" s="36"/>
      <c r="J15" s="22"/>
      <c r="K15" s="33" t="s">
        <v>25</v>
      </c>
      <c r="L15" s="34"/>
      <c r="M15" s="34"/>
      <c r="N15" s="34"/>
      <c r="P15" s="35" t="s">
        <v>26</v>
      </c>
      <c r="Q15" s="34"/>
      <c r="R15" s="34"/>
      <c r="S15" s="34"/>
      <c r="U15" s="33" t="s">
        <v>6</v>
      </c>
      <c r="V15" s="34"/>
      <c r="X15" s="5" t="s">
        <v>27</v>
      </c>
      <c r="Z15" s="5" t="s">
        <v>8</v>
      </c>
      <c r="AB15" s="25" t="s">
        <v>28</v>
      </c>
    </row>
    <row r="16" spans="1:28" s="19" customFormat="1" ht="20.399999999999999" thickBot="1">
      <c r="A16" s="6" t="s">
        <v>0</v>
      </c>
      <c r="B16" s="6" t="s">
        <v>10</v>
      </c>
      <c r="C16" s="7" t="s">
        <v>12</v>
      </c>
      <c r="D16" s="12"/>
      <c r="E16" s="6" t="s">
        <v>13</v>
      </c>
      <c r="F16" s="6" t="s">
        <v>14</v>
      </c>
      <c r="H16" s="6" t="s">
        <v>29</v>
      </c>
      <c r="I16" s="6" t="s">
        <v>10</v>
      </c>
      <c r="J16" s="12"/>
      <c r="K16" s="9" t="s">
        <v>16</v>
      </c>
      <c r="L16" s="9" t="s">
        <v>17</v>
      </c>
      <c r="M16" s="9" t="s">
        <v>18</v>
      </c>
      <c r="N16" s="9" t="s">
        <v>19</v>
      </c>
      <c r="P16" s="10" t="s">
        <v>35</v>
      </c>
      <c r="Q16" s="10" t="s">
        <v>36</v>
      </c>
      <c r="R16" s="10" t="s">
        <v>37</v>
      </c>
      <c r="S16" s="10" t="s">
        <v>38</v>
      </c>
      <c r="X16" s="7" t="s">
        <v>31</v>
      </c>
    </row>
    <row r="17" spans="1:28" ht="20.399999999999999" thickBot="1">
      <c r="A17" s="3">
        <v>40</v>
      </c>
      <c r="B17" s="3">
        <v>15</v>
      </c>
      <c r="C17" s="20">
        <v>1</v>
      </c>
      <c r="D17" s="12" t="s">
        <v>20</v>
      </c>
      <c r="E17" s="13">
        <f>AVERAGE(A17:A28)</f>
        <v>43.25</v>
      </c>
      <c r="F17" s="13">
        <f>AVERAGE(B17:B28)</f>
        <v>10.166666666666666</v>
      </c>
      <c r="H17" s="1">
        <f>(A17-$E$17)/$E$18</f>
        <v>-0.19198591893272582</v>
      </c>
      <c r="I17" s="1">
        <f>(B17-$F$17)/$F$18</f>
        <v>0.9260274735235613</v>
      </c>
      <c r="K17" s="11">
        <v>-1</v>
      </c>
      <c r="L17" s="11">
        <v>3</v>
      </c>
      <c r="M17" s="11">
        <v>5.0999999999999996</v>
      </c>
      <c r="N17" s="11">
        <v>-5</v>
      </c>
      <c r="P17" s="1">
        <f>1/(1+EXP(-(MMULT($H17:$I17,K$17:K$18)-K$20)))</f>
        <v>4.9494266385196402E-6</v>
      </c>
      <c r="Q17" s="1">
        <f t="shared" ref="Q17:S17" si="9">1/(1+EXP(-(MMULT($H17:$I17,L$17:L$18)-L$20)))</f>
        <v>0.98471398061540194</v>
      </c>
      <c r="R17" s="1">
        <f t="shared" si="9"/>
        <v>1.5585539782968507E-2</v>
      </c>
      <c r="S17" s="1">
        <f t="shared" si="9"/>
        <v>4.0334204534097993E-2</v>
      </c>
      <c r="U17" s="14" t="s">
        <v>46</v>
      </c>
      <c r="V17" s="11">
        <v>-12</v>
      </c>
      <c r="X17" s="15">
        <f>1/(1+EXP(-(MMULT(P17:S17,V$17:V$20)-V$22)))</f>
        <v>0.97466815311028177</v>
      </c>
      <c r="Z17" s="15">
        <f>IF(OR(AND(C17=1,X17&lt;0.5),AND(C17=0,X17&gt;=0.5)),1,0)</f>
        <v>0</v>
      </c>
      <c r="AB17" s="16">
        <f>AVERAGE(Z17:Z28)</f>
        <v>8.3333333333333329E-2</v>
      </c>
    </row>
    <row r="18" spans="1:28" ht="20.399999999999999" thickBot="1">
      <c r="A18" s="3">
        <v>43</v>
      </c>
      <c r="B18" s="3">
        <v>11</v>
      </c>
      <c r="C18" s="20">
        <v>1</v>
      </c>
      <c r="D18" s="12" t="s">
        <v>21</v>
      </c>
      <c r="E18" s="13">
        <f>STDEV(A17:A28)</f>
        <v>16.928324837921259</v>
      </c>
      <c r="F18" s="13">
        <f>STDEV(B17:B28)</f>
        <v>5.2194275780418922</v>
      </c>
      <c r="H18" s="1">
        <f t="shared" ref="H18:H28" si="10">(A18-$E$17)/$E$18</f>
        <v>-1.4768147610209678E-2</v>
      </c>
      <c r="I18" s="1">
        <f t="shared" ref="I18:I28" si="11">(B18-$F$17)/$F$18</f>
        <v>0.15965990922820031</v>
      </c>
      <c r="K18" s="11">
        <v>-8</v>
      </c>
      <c r="L18" s="11">
        <v>6.2</v>
      </c>
      <c r="M18" s="11">
        <v>0.9</v>
      </c>
      <c r="N18" s="11">
        <v>3.1</v>
      </c>
      <c r="P18" s="1">
        <f t="shared" ref="P18:P28" si="12">1/(1+EXP(-(MMULT($H18:$I18,K$17:K$18)-K$20)))</f>
        <v>1.9028247931254965E-3</v>
      </c>
      <c r="Q18" s="1">
        <f t="shared" ref="Q18:Q28" si="13">1/(1+EXP(-(MMULT($H18:$I18,L$17:L$18)-L$20)))</f>
        <v>0.48640010395003908</v>
      </c>
      <c r="R18" s="1">
        <f t="shared" ref="R18:R28" si="14">1/(1+EXP(-(MMULT($H18:$I18,M$17:M$18)-M$20)))</f>
        <v>1.9234579478412218E-2</v>
      </c>
      <c r="S18" s="1">
        <f t="shared" ref="S18:S28" si="15">1/(1+EXP(-(MMULT($H18:$I18,N$17:N$18)-N$20)))</f>
        <v>1.6079057178421188E-3</v>
      </c>
      <c r="U18" s="17" t="s">
        <v>47</v>
      </c>
      <c r="V18" s="11">
        <v>4</v>
      </c>
      <c r="X18" s="15">
        <f t="shared" ref="X18:X28" si="16">1/(1+EXP(-(MMULT(P18:S18,V$17:V$20)-V$22)))</f>
        <v>0.86476167373419344</v>
      </c>
      <c r="Z18" s="15">
        <f t="shared" ref="Z18:Z28" si="17">IF(OR(AND(C18=1,X18&lt;0.5),AND(C18=0,X18&gt;=0.5)),1,0)</f>
        <v>0</v>
      </c>
    </row>
    <row r="19" spans="1:28" ht="20.399999999999999" thickBot="1">
      <c r="A19" s="3">
        <v>50</v>
      </c>
      <c r="B19" s="3">
        <v>9</v>
      </c>
      <c r="C19" s="20">
        <v>1</v>
      </c>
      <c r="H19" s="1">
        <f t="shared" si="10"/>
        <v>0.39873998547566131</v>
      </c>
      <c r="I19" s="1">
        <f t="shared" si="11"/>
        <v>-0.22352387291948017</v>
      </c>
      <c r="K19" s="18"/>
      <c r="L19" s="18"/>
      <c r="M19" s="18"/>
      <c r="N19" s="18"/>
      <c r="P19" s="1">
        <f t="shared" si="12"/>
        <v>2.6325243819188722E-2</v>
      </c>
      <c r="Q19" s="1">
        <f t="shared" si="13"/>
        <v>0.23332546431809306</v>
      </c>
      <c r="R19" s="1">
        <f t="shared" si="14"/>
        <v>0.10269821019326798</v>
      </c>
      <c r="S19" s="1">
        <f t="shared" si="15"/>
        <v>6.2104876829387499E-5</v>
      </c>
      <c r="U19" s="17" t="s">
        <v>48</v>
      </c>
      <c r="V19" s="11">
        <v>-3</v>
      </c>
      <c r="X19" s="15">
        <f t="shared" si="16"/>
        <v>0.57662447289237928</v>
      </c>
      <c r="Z19" s="15">
        <f t="shared" si="17"/>
        <v>0</v>
      </c>
    </row>
    <row r="20" spans="1:28" ht="20.399999999999999" thickBot="1">
      <c r="A20" s="3">
        <v>57</v>
      </c>
      <c r="B20" s="3">
        <v>14</v>
      </c>
      <c r="C20" s="20">
        <v>1</v>
      </c>
      <c r="H20" s="1">
        <f t="shared" si="10"/>
        <v>0.81224811856153234</v>
      </c>
      <c r="I20" s="1">
        <f t="shared" si="11"/>
        <v>0.73443558244972107</v>
      </c>
      <c r="J20" s="14" t="s">
        <v>23</v>
      </c>
      <c r="K20" s="11">
        <v>5</v>
      </c>
      <c r="L20" s="11">
        <v>1</v>
      </c>
      <c r="M20" s="11">
        <v>4</v>
      </c>
      <c r="N20" s="11">
        <v>7</v>
      </c>
      <c r="P20" s="1">
        <f t="shared" si="12"/>
        <v>8.3961173911230477E-6</v>
      </c>
      <c r="Q20" s="1">
        <f t="shared" si="13"/>
        <v>0.99750319880967953</v>
      </c>
      <c r="R20" s="1">
        <f t="shared" si="14"/>
        <v>0.69071357249898024</v>
      </c>
      <c r="S20" s="1">
        <f t="shared" si="15"/>
        <v>1.5306569270733759E-4</v>
      </c>
      <c r="U20" s="17" t="s">
        <v>49</v>
      </c>
      <c r="V20" s="11">
        <v>-6</v>
      </c>
      <c r="X20" s="15">
        <f t="shared" si="16"/>
        <v>0.87178708333478749</v>
      </c>
      <c r="Z20" s="15">
        <f t="shared" si="17"/>
        <v>0</v>
      </c>
    </row>
    <row r="21" spans="1:28" ht="16.8" thickBot="1">
      <c r="A21" s="3">
        <v>71</v>
      </c>
      <c r="B21" s="3">
        <v>5</v>
      </c>
      <c r="C21" s="23">
        <v>0</v>
      </c>
      <c r="H21" s="1">
        <f t="shared" si="10"/>
        <v>1.6392643847332744</v>
      </c>
      <c r="I21" s="1">
        <f t="shared" si="11"/>
        <v>-0.98989143721484119</v>
      </c>
      <c r="P21" s="1">
        <f t="shared" si="12"/>
        <v>0.78242715526424422</v>
      </c>
      <c r="Q21" s="1">
        <f t="shared" si="13"/>
        <v>9.8010014384521615E-2</v>
      </c>
      <c r="R21" s="1">
        <f t="shared" si="14"/>
        <v>0.96980287384687425</v>
      </c>
      <c r="S21" s="1">
        <f t="shared" si="15"/>
        <v>1.1684701782022527E-8</v>
      </c>
      <c r="V21" s="18"/>
      <c r="X21" s="15">
        <f t="shared" si="16"/>
        <v>6.7464019225867968E-6</v>
      </c>
      <c r="Z21" s="15">
        <f t="shared" si="17"/>
        <v>0</v>
      </c>
    </row>
    <row r="22" spans="1:28" ht="16.8" thickBot="1">
      <c r="A22" s="3">
        <v>20</v>
      </c>
      <c r="B22" s="3">
        <v>5</v>
      </c>
      <c r="C22" s="23">
        <v>0</v>
      </c>
      <c r="H22" s="1">
        <f t="shared" si="10"/>
        <v>-1.3734377277495002</v>
      </c>
      <c r="I22" s="1">
        <f t="shared" si="11"/>
        <v>-0.98989143721484119</v>
      </c>
      <c r="K22" s="11"/>
      <c r="L22" s="11"/>
      <c r="M22" s="11"/>
      <c r="N22" s="11"/>
      <c r="P22" s="1">
        <f t="shared" si="12"/>
        <v>0.98651458295891625</v>
      </c>
      <c r="Q22" s="1">
        <f t="shared" si="13"/>
        <v>1.2908132715291299E-5</v>
      </c>
      <c r="R22" s="1">
        <f t="shared" si="14"/>
        <v>6.8214293465095242E-6</v>
      </c>
      <c r="S22" s="1">
        <f t="shared" si="15"/>
        <v>3.9110260543280817E-2</v>
      </c>
      <c r="U22" s="17" t="s">
        <v>30</v>
      </c>
      <c r="V22" s="11">
        <v>0</v>
      </c>
      <c r="X22" s="15">
        <f t="shared" si="16"/>
        <v>5.7127439201593858E-6</v>
      </c>
      <c r="Z22" s="15">
        <f t="shared" si="17"/>
        <v>0</v>
      </c>
    </row>
    <row r="23" spans="1:28">
      <c r="A23" s="3">
        <v>53</v>
      </c>
      <c r="B23" s="3">
        <v>12</v>
      </c>
      <c r="C23" s="20">
        <v>1</v>
      </c>
      <c r="H23" s="1">
        <f t="shared" si="10"/>
        <v>0.57595775679817751</v>
      </c>
      <c r="I23" s="1">
        <f t="shared" si="11"/>
        <v>0.35125180030204056</v>
      </c>
      <c r="P23" s="1">
        <f t="shared" si="12"/>
        <v>2.2799196356062038E-4</v>
      </c>
      <c r="Q23" s="1">
        <f t="shared" si="13"/>
        <v>0.94812426522153326</v>
      </c>
      <c r="R23" s="1">
        <f t="shared" si="14"/>
        <v>0.32158685019883293</v>
      </c>
      <c r="S23" s="1">
        <f t="shared" si="15"/>
        <v>1.5208662452683705E-4</v>
      </c>
      <c r="X23" s="15">
        <f t="shared" si="16"/>
        <v>0.94396370370189808</v>
      </c>
      <c r="Z23" s="15">
        <f t="shared" si="17"/>
        <v>0</v>
      </c>
      <c r="AB23" s="26" t="s">
        <v>32</v>
      </c>
    </row>
    <row r="24" spans="1:28">
      <c r="A24" s="3">
        <v>62</v>
      </c>
      <c r="B24" s="3">
        <v>1</v>
      </c>
      <c r="C24" s="20">
        <v>0</v>
      </c>
      <c r="H24" s="1">
        <f t="shared" si="10"/>
        <v>1.1076110707657258</v>
      </c>
      <c r="I24" s="1">
        <f t="shared" si="11"/>
        <v>-1.7562590015102022</v>
      </c>
      <c r="P24" s="1">
        <f t="shared" si="12"/>
        <v>0.99964479526241989</v>
      </c>
      <c r="Q24" s="1">
        <f t="shared" si="13"/>
        <v>1.9044196467883883E-4</v>
      </c>
      <c r="R24" s="1">
        <f t="shared" si="14"/>
        <v>0.51703923915455663</v>
      </c>
      <c r="S24" s="1">
        <f t="shared" si="15"/>
        <v>1.5499496862843795E-8</v>
      </c>
      <c r="X24" s="15">
        <f t="shared" si="16"/>
        <v>1.3091992136532683E-6</v>
      </c>
      <c r="Z24" s="15">
        <f t="shared" si="17"/>
        <v>0</v>
      </c>
      <c r="AB24" s="15">
        <f>SUMXMY2(C17:C28,X17:X28)</f>
        <v>1.2592553586253932</v>
      </c>
    </row>
    <row r="25" spans="1:28">
      <c r="A25" s="3">
        <v>33</v>
      </c>
      <c r="B25" s="3">
        <v>6</v>
      </c>
      <c r="C25" s="20">
        <v>1</v>
      </c>
      <c r="H25" s="1">
        <f t="shared" si="10"/>
        <v>-0.60549405201859685</v>
      </c>
      <c r="I25" s="1">
        <f t="shared" si="11"/>
        <v>-0.79829954614100085</v>
      </c>
      <c r="P25" s="1">
        <f t="shared" si="12"/>
        <v>0.87994299139056864</v>
      </c>
      <c r="Q25" s="1">
        <f t="shared" si="13"/>
        <v>4.2375157455495075E-4</v>
      </c>
      <c r="R25" s="1">
        <f t="shared" si="14"/>
        <v>4.0691906137563781E-4</v>
      </c>
      <c r="S25" s="1">
        <f t="shared" si="15"/>
        <v>1.5823535688547932E-3</v>
      </c>
      <c r="X25" s="15">
        <f t="shared" si="16"/>
        <v>2.5716918217746621E-5</v>
      </c>
      <c r="Z25" s="15">
        <f t="shared" si="17"/>
        <v>1</v>
      </c>
    </row>
    <row r="26" spans="1:28">
      <c r="A26" s="3">
        <v>25</v>
      </c>
      <c r="B26" s="3">
        <v>15</v>
      </c>
      <c r="C26" s="20">
        <v>0</v>
      </c>
      <c r="H26" s="1">
        <f t="shared" si="10"/>
        <v>-1.0780747755453066</v>
      </c>
      <c r="I26" s="1">
        <f t="shared" si="11"/>
        <v>0.9260274735235613</v>
      </c>
      <c r="P26" s="1">
        <f t="shared" si="12"/>
        <v>1.2005363879608812E-5</v>
      </c>
      <c r="Q26" s="1">
        <f t="shared" si="13"/>
        <v>0.81863786035510033</v>
      </c>
      <c r="R26" s="1">
        <f t="shared" si="14"/>
        <v>1.7253176806324638E-4</v>
      </c>
      <c r="S26" s="1">
        <f t="shared" si="15"/>
        <v>0.77920836271712801</v>
      </c>
      <c r="X26" s="15">
        <f t="shared" si="16"/>
        <v>0.19760032611152678</v>
      </c>
      <c r="Z26" s="15">
        <f t="shared" si="17"/>
        <v>0</v>
      </c>
      <c r="AB26" s="15">
        <v>1.851359003655388</v>
      </c>
    </row>
    <row r="27" spans="1:28">
      <c r="A27" s="3">
        <v>48</v>
      </c>
      <c r="B27" s="3">
        <v>19</v>
      </c>
      <c r="C27" s="20">
        <v>1</v>
      </c>
      <c r="H27" s="1">
        <f t="shared" si="10"/>
        <v>0.28059480459398389</v>
      </c>
      <c r="I27" s="1">
        <f t="shared" si="11"/>
        <v>1.6923950378189223</v>
      </c>
      <c r="P27" s="1">
        <f t="shared" si="12"/>
        <v>6.7094080169601143E-9</v>
      </c>
      <c r="Q27" s="1">
        <f t="shared" si="13"/>
        <v>0.99996751285664354</v>
      </c>
      <c r="R27" s="1">
        <f t="shared" si="14"/>
        <v>0.26003032197245646</v>
      </c>
      <c r="S27" s="1">
        <f t="shared" si="15"/>
        <v>4.0833987601217661E-2</v>
      </c>
      <c r="X27" s="15">
        <f t="shared" si="16"/>
        <v>0.9514214511729151</v>
      </c>
      <c r="Z27" s="15">
        <f t="shared" si="17"/>
        <v>0</v>
      </c>
    </row>
    <row r="28" spans="1:28">
      <c r="A28" s="3">
        <v>17</v>
      </c>
      <c r="B28" s="3">
        <v>10</v>
      </c>
      <c r="C28" s="20">
        <v>0</v>
      </c>
      <c r="H28" s="1">
        <f t="shared" si="10"/>
        <v>-1.5506554990720163</v>
      </c>
      <c r="I28" s="1">
        <f t="shared" si="11"/>
        <v>-3.1931981845639924E-2</v>
      </c>
      <c r="P28" s="1">
        <f t="shared" si="12"/>
        <v>3.9396352662363521E-2</v>
      </c>
      <c r="Q28" s="1">
        <f t="shared" si="13"/>
        <v>2.8717872627035406E-3</v>
      </c>
      <c r="R28" s="1">
        <f t="shared" si="14"/>
        <v>6.5431728026115422E-6</v>
      </c>
      <c r="S28" s="1">
        <f t="shared" si="15"/>
        <v>0.65797618120093693</v>
      </c>
      <c r="X28" s="15">
        <f t="shared" si="16"/>
        <v>1.2019343609039234E-2</v>
      </c>
      <c r="Z28" s="15">
        <f t="shared" si="17"/>
        <v>0</v>
      </c>
    </row>
    <row r="29" spans="1:28">
      <c r="V29" s="11"/>
    </row>
    <row r="30" spans="1:28">
      <c r="V30" s="11"/>
    </row>
    <row r="31" spans="1:28">
      <c r="V31" s="11"/>
    </row>
    <row r="32" spans="1:28">
      <c r="V32" s="11"/>
    </row>
    <row r="33" spans="22:22">
      <c r="V33" s="18"/>
    </row>
    <row r="34" spans="22:22">
      <c r="V34" s="11"/>
    </row>
  </sheetData>
  <mergeCells count="12">
    <mergeCell ref="U15:V15"/>
    <mergeCell ref="A1:C1"/>
    <mergeCell ref="D1:F1"/>
    <mergeCell ref="H1:I1"/>
    <mergeCell ref="K1:N1"/>
    <mergeCell ref="P1:S1"/>
    <mergeCell ref="U1:V1"/>
    <mergeCell ref="A15:C15"/>
    <mergeCell ref="D15:F15"/>
    <mergeCell ref="H15:I15"/>
    <mergeCell ref="K15:N15"/>
    <mergeCell ref="P15:S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6"/>
  <sheetViews>
    <sheetView showGridLines="0" zoomScale="85" zoomScaleNormal="85" workbookViewId="0">
      <selection activeCell="C4" sqref="C4"/>
    </sheetView>
  </sheetViews>
  <sheetFormatPr defaultRowHeight="16.2"/>
  <cols>
    <col min="1" max="1" width="112.109375" customWidth="1"/>
  </cols>
  <sheetData>
    <row r="1" spans="1:1" s="27" customFormat="1" ht="67.2" customHeight="1" thickBot="1">
      <c r="A1" s="29" t="s">
        <v>50</v>
      </c>
    </row>
    <row r="2" spans="1:1" s="30" customFormat="1" ht="193.2" customHeight="1" thickBot="1">
      <c r="A2" s="31" t="s">
        <v>52</v>
      </c>
    </row>
    <row r="3" spans="1:1" s="27" customFormat="1" ht="40.799999999999997" customHeight="1" thickBot="1">
      <c r="A3" s="28" t="s">
        <v>51</v>
      </c>
    </row>
    <row r="4" spans="1:1" s="27" customFormat="1" ht="373.2" customHeight="1" thickBot="1">
      <c r="A4" s="32" t="s">
        <v>53</v>
      </c>
    </row>
    <row r="5" spans="1:1" hidden="1">
      <c r="A5">
        <f>8*(-1.34096)^2+0.8</f>
        <v>15.185389772799999</v>
      </c>
    </row>
    <row r="6" spans="1:1" hidden="1">
      <c r="A6">
        <f>-1.972-0.02*(16*-1.972)</f>
        <v>-1.3409599999999999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2"/>
  <sheetViews>
    <sheetView showGridLines="0" workbookViewId="0">
      <selection activeCell="A4" sqref="A4"/>
    </sheetView>
  </sheetViews>
  <sheetFormatPr defaultRowHeight="16.2"/>
  <cols>
    <col min="1" max="1" width="91.6640625" customWidth="1"/>
  </cols>
  <sheetData>
    <row r="1" spans="1:1" s="27" customFormat="1" ht="55.8" customHeight="1" thickBot="1">
      <c r="A1" s="29" t="s">
        <v>54</v>
      </c>
    </row>
    <row r="2" spans="1:1" s="27" customFormat="1" ht="241.8" customHeight="1" thickBot="1">
      <c r="A2" s="31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"/>
  <sheetViews>
    <sheetView workbookViewId="0">
      <selection activeCell="T28" sqref="T28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"/>
  <sheetViews>
    <sheetView workbookViewId="0">
      <selection activeCell="G29" sqref="G29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1.(50)_神經網路_分類_期末考題目 陽光旅行社</vt:lpstr>
      <vt:lpstr>2.(3５)類神經網路申論題</vt:lpstr>
      <vt:lpstr>3.(15)KNN及類神經網路的不同</vt:lpstr>
      <vt:lpstr>附圖1</vt:lpstr>
      <vt:lpstr>附圖2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</cp:lastModifiedBy>
  <dcterms:created xsi:type="dcterms:W3CDTF">2022-01-07T00:06:05Z</dcterms:created>
  <dcterms:modified xsi:type="dcterms:W3CDTF">2023-01-06T07:00:37Z</dcterms:modified>
</cp:coreProperties>
</file>