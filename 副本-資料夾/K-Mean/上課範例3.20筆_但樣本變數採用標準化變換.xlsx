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1.教學\113-1資料探勘DataMining\111-1_僅餘作業_考試資料\"/>
    </mc:Choice>
  </mc:AlternateContent>
  <bookViews>
    <workbookView xWindow="0" yWindow="0" windowWidth="23040" windowHeight="9720" tabRatio="718"/>
  </bookViews>
  <sheets>
    <sheet name="0.題目" sheetId="7" r:id="rId1"/>
    <sheet name="1.變數-採用標準正規化變換" sheetId="1" r:id="rId2"/>
    <sheet name="2.第1次聚類" sheetId="2" r:id="rId3"/>
    <sheet name="3.第2次聚類" sheetId="3" r:id="rId4"/>
    <sheet name="4.第3次聚類" sheetId="4" r:id="rId5"/>
    <sheet name="5.第4次聚類-Bingo" sheetId="5" r:id="rId6"/>
    <sheet name="6.分析-4個Outcome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6" l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3" i="1"/>
  <c r="L3" i="1"/>
  <c r="K10" i="6" l="1"/>
  <c r="K9" i="6"/>
  <c r="J10" i="6"/>
  <c r="J9" i="6"/>
  <c r="I9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I21" i="5" l="1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N5" i="5"/>
  <c r="M5" i="5"/>
  <c r="L5" i="5"/>
  <c r="N4" i="5"/>
  <c r="N3" i="5"/>
  <c r="M4" i="5"/>
  <c r="M3" i="5"/>
  <c r="L4" i="5"/>
  <c r="L3" i="5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N5" i="4"/>
  <c r="M5" i="4"/>
  <c r="L5" i="4"/>
  <c r="N4" i="4"/>
  <c r="N3" i="4"/>
  <c r="M4" i="4"/>
  <c r="M3" i="4"/>
  <c r="L4" i="4"/>
  <c r="L3" i="4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I7" i="3" s="1"/>
  <c r="H6" i="3"/>
  <c r="H5" i="3"/>
  <c r="H4" i="3"/>
  <c r="H3" i="3"/>
  <c r="H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I21" i="3"/>
  <c r="I15" i="3"/>
  <c r="I13" i="3"/>
  <c r="I8" i="3"/>
  <c r="I5" i="3"/>
  <c r="I20" i="3"/>
  <c r="I19" i="3"/>
  <c r="I18" i="3"/>
  <c r="I12" i="3"/>
  <c r="I11" i="3"/>
  <c r="I10" i="3"/>
  <c r="I4" i="3"/>
  <c r="I3" i="3"/>
  <c r="N4" i="3"/>
  <c r="N3" i="3"/>
  <c r="M4" i="3"/>
  <c r="M3" i="3"/>
  <c r="L4" i="3"/>
  <c r="L3" i="3"/>
  <c r="L5" i="3"/>
  <c r="N5" i="3"/>
  <c r="M5" i="3"/>
  <c r="I9" i="3"/>
  <c r="I16" i="3"/>
  <c r="I17" i="3"/>
  <c r="I6" i="3" l="1"/>
  <c r="I14" i="3"/>
  <c r="I2" i="3"/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N5" i="2" l="1"/>
  <c r="M5" i="2"/>
  <c r="L5" i="2"/>
  <c r="C24" i="1"/>
  <c r="B24" i="1"/>
  <c r="C23" i="1"/>
  <c r="B23" i="1"/>
  <c r="N3" i="2" l="1"/>
  <c r="M3" i="2"/>
  <c r="N4" i="2" l="1"/>
  <c r="L4" i="2"/>
  <c r="L3" i="2"/>
  <c r="E19" i="2" s="1"/>
  <c r="G21" i="2"/>
  <c r="M4" i="2"/>
  <c r="F17" i="2" s="1"/>
  <c r="F15" i="2"/>
  <c r="F4" i="2"/>
  <c r="F12" i="2"/>
  <c r="G3" i="2"/>
  <c r="F6" i="2"/>
  <c r="G18" i="2"/>
  <c r="E18" i="2"/>
  <c r="E17" i="2"/>
  <c r="E16" i="2"/>
  <c r="G20" i="2"/>
  <c r="E4" i="2"/>
  <c r="E10" i="2"/>
  <c r="E9" i="2"/>
  <c r="E8" i="2"/>
  <c r="G2" i="2"/>
  <c r="G4" i="2"/>
  <c r="E20" i="2"/>
  <c r="E2" i="2"/>
  <c r="F3" i="2"/>
  <c r="F18" i="2"/>
  <c r="F19" i="2"/>
  <c r="F10" i="2"/>
  <c r="F11" i="2"/>
  <c r="F2" i="2"/>
  <c r="G19" i="2"/>
  <c r="F16" i="2"/>
  <c r="G13" i="2"/>
  <c r="G10" i="2"/>
  <c r="E12" i="2"/>
  <c r="G17" i="2"/>
  <c r="G16" i="2"/>
  <c r="G11" i="2"/>
  <c r="F14" i="2"/>
  <c r="G7" i="2"/>
  <c r="G14" i="2"/>
  <c r="G6" i="2"/>
  <c r="G15" i="2"/>
  <c r="E15" i="2"/>
  <c r="E7" i="2"/>
  <c r="E14" i="2"/>
  <c r="E6" i="2"/>
  <c r="E21" i="2"/>
  <c r="E11" i="2"/>
  <c r="G9" i="2"/>
  <c r="G8" i="2"/>
  <c r="F7" i="2"/>
  <c r="G5" i="2"/>
  <c r="G12" i="2"/>
  <c r="H14" i="2" l="1"/>
  <c r="I14" i="2" s="1"/>
  <c r="H11" i="2"/>
  <c r="I11" i="2" s="1"/>
  <c r="E13" i="2"/>
  <c r="H2" i="2"/>
  <c r="I2" i="2" s="1"/>
  <c r="H6" i="2"/>
  <c r="I6" i="2" s="1"/>
  <c r="H16" i="2"/>
  <c r="I16" i="2" s="1"/>
  <c r="H17" i="2"/>
  <c r="I17" i="2" s="1"/>
  <c r="H7" i="2"/>
  <c r="I7" i="2" s="1"/>
  <c r="H18" i="2"/>
  <c r="I18" i="2" s="1"/>
  <c r="H15" i="2"/>
  <c r="I15" i="2" s="1"/>
  <c r="H12" i="2"/>
  <c r="I12" i="2" s="1"/>
  <c r="H19" i="2"/>
  <c r="I19" i="2" s="1"/>
  <c r="H10" i="2"/>
  <c r="I10" i="2" s="1"/>
  <c r="H4" i="2"/>
  <c r="I4" i="2" s="1"/>
  <c r="F21" i="2"/>
  <c r="H21" i="2" s="1"/>
  <c r="I21" i="2" s="1"/>
  <c r="F8" i="2"/>
  <c r="H8" i="2" s="1"/>
  <c r="I8" i="2" s="1"/>
  <c r="F9" i="2"/>
  <c r="H9" i="2" s="1"/>
  <c r="I9" i="2" s="1"/>
  <c r="F5" i="2"/>
  <c r="F13" i="2"/>
  <c r="H13" i="2" s="1"/>
  <c r="I13" i="2" s="1"/>
  <c r="E3" i="2"/>
  <c r="H3" i="2" s="1"/>
  <c r="I3" i="2" s="1"/>
  <c r="F20" i="2"/>
  <c r="H20" i="2" s="1"/>
  <c r="I20" i="2" s="1"/>
  <c r="E5" i="2"/>
  <c r="H5" i="2" l="1"/>
  <c r="I5" i="2" s="1"/>
</calcChain>
</file>

<file path=xl/sharedStrings.xml><?xml version="1.0" encoding="utf-8"?>
<sst xmlns="http://schemas.openxmlformats.org/spreadsheetml/2006/main" count="111" uniqueCount="53">
  <si>
    <t>樣本</t>
    <phoneticPr fontId="4" type="noConversion"/>
  </si>
  <si>
    <t>No</t>
    <phoneticPr fontId="6" type="noConversion"/>
  </si>
  <si>
    <t>Age</t>
    <phoneticPr fontId="6" type="noConversion"/>
  </si>
  <si>
    <t>Income</t>
    <phoneticPr fontId="6" type="noConversion"/>
  </si>
  <si>
    <t>AVG(平均)</t>
    <phoneticPr fontId="4" type="noConversion"/>
  </si>
  <si>
    <t>STD(標準差)</t>
    <phoneticPr fontId="4" type="noConversion"/>
  </si>
  <si>
    <t>Age</t>
    <phoneticPr fontId="4" type="noConversion"/>
  </si>
  <si>
    <t>Income</t>
    <phoneticPr fontId="4" type="noConversion"/>
  </si>
  <si>
    <t>原始聚類</t>
    <phoneticPr fontId="4" type="noConversion"/>
  </si>
  <si>
    <t>正規化的聚類中心</t>
    <phoneticPr fontId="4" type="noConversion"/>
  </si>
  <si>
    <t>Age</t>
    <phoneticPr fontId="4" type="noConversion"/>
  </si>
  <si>
    <t>Income</t>
    <phoneticPr fontId="4" type="noConversion"/>
  </si>
  <si>
    <t>聚類1</t>
    <phoneticPr fontId="4" type="noConversion"/>
  </si>
  <si>
    <t>聚類2</t>
    <phoneticPr fontId="4" type="noConversion"/>
  </si>
  <si>
    <t>聚類3</t>
    <phoneticPr fontId="4" type="noConversion"/>
  </si>
  <si>
    <t>樣本比例</t>
    <phoneticPr fontId="4" type="noConversion"/>
  </si>
  <si>
    <t>D1</t>
    <phoneticPr fontId="4" type="noConversion"/>
  </si>
  <si>
    <t>D2</t>
    <phoneticPr fontId="4" type="noConversion"/>
  </si>
  <si>
    <t>D3</t>
    <phoneticPr fontId="4" type="noConversion"/>
  </si>
  <si>
    <t>第一次聚類</t>
    <phoneticPr fontId="4" type="noConversion"/>
  </si>
  <si>
    <t>D2</t>
    <phoneticPr fontId="4" type="noConversion"/>
  </si>
  <si>
    <t>D3</t>
    <phoneticPr fontId="4" type="noConversion"/>
  </si>
  <si>
    <t>第二次聚類</t>
    <phoneticPr fontId="4" type="noConversion"/>
  </si>
  <si>
    <t>D1</t>
    <phoneticPr fontId="4" type="noConversion"/>
  </si>
  <si>
    <t>D2</t>
    <phoneticPr fontId="4" type="noConversion"/>
  </si>
  <si>
    <t>D3</t>
    <phoneticPr fontId="4" type="noConversion"/>
  </si>
  <si>
    <t>第三次類聚</t>
    <phoneticPr fontId="4" type="noConversion"/>
  </si>
  <si>
    <t>MIN</t>
    <phoneticPr fontId="4" type="noConversion"/>
  </si>
  <si>
    <t>MIN</t>
    <phoneticPr fontId="4" type="noConversion"/>
  </si>
  <si>
    <t>第一次聚類</t>
  </si>
  <si>
    <t>第二次聚類</t>
  </si>
  <si>
    <t>第一次聚類(排序)</t>
    <phoneticPr fontId="4" type="noConversion"/>
  </si>
  <si>
    <t>第二次聚類(排序)</t>
    <phoneticPr fontId="4" type="noConversion"/>
  </si>
  <si>
    <t>第三次類聚排序)</t>
    <phoneticPr fontId="4" type="noConversion"/>
  </si>
  <si>
    <t>MIN</t>
    <phoneticPr fontId="4" type="noConversion"/>
  </si>
  <si>
    <t>第四次類聚</t>
    <phoneticPr fontId="4" type="noConversion"/>
  </si>
  <si>
    <t>Age</t>
  </si>
  <si>
    <t>Income</t>
  </si>
  <si>
    <t>Age-RE</t>
    <phoneticPr fontId="4" type="noConversion"/>
  </si>
  <si>
    <t>Income-RE</t>
    <phoneticPr fontId="4" type="noConversion"/>
  </si>
  <si>
    <t>正規化的聚類中心</t>
  </si>
  <si>
    <t>聚類1</t>
  </si>
  <si>
    <t>聚類2</t>
  </si>
  <si>
    <t>聚類3</t>
  </si>
  <si>
    <t>樣本比例</t>
  </si>
  <si>
    <t>還原的聚類中心</t>
    <phoneticPr fontId="4" type="noConversion"/>
  </si>
  <si>
    <t>聚類3</t>
    <phoneticPr fontId="4" type="noConversion"/>
  </si>
  <si>
    <t>Age</t>
    <phoneticPr fontId="4" type="noConversion"/>
  </si>
  <si>
    <t>Income</t>
    <phoneticPr fontId="4" type="noConversion"/>
  </si>
  <si>
    <t>樣本(變數)須採用資料正規化</t>
    <phoneticPr fontId="4" type="noConversion"/>
  </si>
  <si>
    <t>1.算出Age及Income的算術平均數</t>
    <phoneticPr fontId="4" type="noConversion"/>
  </si>
  <si>
    <t>2.算出變數 : 採用標準正規化變換</t>
    <phoneticPr fontId="4" type="noConversion"/>
  </si>
  <si>
    <t>第四次類聚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</si>
</sst>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_ "/>
  </numFmts>
  <fonts count="18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日星初號楷體&lt;"/>
      <family val="3"/>
      <charset val="136"/>
    </font>
    <font>
      <sz val="16"/>
      <name val="新細明體"/>
      <family val="1"/>
      <charset val="136"/>
    </font>
    <font>
      <sz val="16"/>
      <color theme="1"/>
      <name val="新細明體"/>
      <family val="1"/>
      <charset val="136"/>
      <scheme val="minor"/>
    </font>
    <font>
      <sz val="16"/>
      <color rgb="FF9C0006"/>
      <name val="新細明體"/>
      <family val="1"/>
      <charset val="136"/>
      <scheme val="minor"/>
    </font>
    <font>
      <sz val="16"/>
      <color theme="0"/>
      <name val="新細明體"/>
      <family val="1"/>
      <charset val="136"/>
      <scheme val="minor"/>
    </font>
    <font>
      <sz val="16"/>
      <color rgb="FF006100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sz val="16"/>
      <color rgb="FF9C6500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6"/>
      <color theme="1"/>
      <name val="新細明體"/>
      <family val="1"/>
      <charset val="136"/>
    </font>
    <font>
      <b/>
      <sz val="16"/>
      <color rgb="FFFF0000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Fill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4" applyFont="1" applyFill="1" applyBorder="1">
      <alignment vertical="center"/>
    </xf>
    <xf numFmtId="0" fontId="10" fillId="3" borderId="0" xfId="2" applyFont="1">
      <alignment vertical="center"/>
    </xf>
    <xf numFmtId="176" fontId="8" fillId="0" borderId="0" xfId="4" applyNumberFormat="1" applyFont="1" applyBorder="1">
      <alignment vertical="center"/>
    </xf>
    <xf numFmtId="0" fontId="11" fillId="5" borderId="0" xfId="0" applyFont="1" applyFill="1" applyBorder="1">
      <alignment vertical="center"/>
    </xf>
    <xf numFmtId="0" fontId="9" fillId="0" borderId="0" xfId="0" applyFont="1" applyBorder="1">
      <alignment vertical="center"/>
    </xf>
    <xf numFmtId="0" fontId="11" fillId="5" borderId="0" xfId="0" applyFont="1" applyFill="1">
      <alignment vertical="center"/>
    </xf>
    <xf numFmtId="0" fontId="8" fillId="0" borderId="0" xfId="4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Fill="1" applyBorder="1">
      <alignment vertical="center"/>
    </xf>
    <xf numFmtId="0" fontId="12" fillId="2" borderId="0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12" fillId="2" borderId="0" xfId="1" applyFont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10" fillId="3" borderId="0" xfId="2" applyFont="1" applyAlignment="1">
      <alignment horizontal="center" vertical="center"/>
    </xf>
    <xf numFmtId="9" fontId="9" fillId="0" borderId="1" xfId="0" applyNumberFormat="1" applyFont="1" applyBorder="1">
      <alignment vertical="center"/>
    </xf>
    <xf numFmtId="0" fontId="14" fillId="4" borderId="0" xfId="3" applyFont="1" applyAlignment="1">
      <alignment horizontal="center" vertical="center"/>
    </xf>
    <xf numFmtId="0" fontId="14" fillId="4" borderId="0" xfId="3" applyFont="1" applyBorder="1" applyAlignment="1">
      <alignment horizontal="center" vertical="center"/>
    </xf>
    <xf numFmtId="0" fontId="10" fillId="3" borderId="0" xfId="2" applyFont="1" applyBorder="1" applyAlignment="1">
      <alignment horizontal="center" vertical="center"/>
    </xf>
    <xf numFmtId="0" fontId="9" fillId="0" borderId="0" xfId="0" applyFont="1" applyFill="1">
      <alignment vertical="center"/>
    </xf>
    <xf numFmtId="9" fontId="9" fillId="0" borderId="1" xfId="0" applyNumberFormat="1" applyFont="1" applyBorder="1" applyAlignment="1">
      <alignment horizontal="center" vertical="center"/>
    </xf>
    <xf numFmtId="0" fontId="8" fillId="7" borderId="0" xfId="4" applyFont="1" applyFill="1" applyBorder="1">
      <alignment vertical="center"/>
    </xf>
    <xf numFmtId="176" fontId="8" fillId="0" borderId="0" xfId="4" applyNumberFormat="1" applyFont="1" applyFill="1" applyBorder="1">
      <alignment vertical="center"/>
    </xf>
    <xf numFmtId="0" fontId="9" fillId="6" borderId="0" xfId="0" applyFont="1" applyFill="1">
      <alignment vertical="center"/>
    </xf>
    <xf numFmtId="0" fontId="9" fillId="6" borderId="5" xfId="0" applyFont="1" applyFill="1" applyBorder="1">
      <alignment vertical="center"/>
    </xf>
    <xf numFmtId="0" fontId="9" fillId="6" borderId="6" xfId="0" applyFont="1" applyFill="1" applyBorder="1">
      <alignment vertical="center"/>
    </xf>
    <xf numFmtId="0" fontId="9" fillId="6" borderId="7" xfId="0" applyFont="1" applyFill="1" applyBorder="1">
      <alignment vertical="center"/>
    </xf>
    <xf numFmtId="0" fontId="9" fillId="6" borderId="8" xfId="0" applyFont="1" applyFill="1" applyBorder="1">
      <alignment vertical="center"/>
    </xf>
    <xf numFmtId="177" fontId="9" fillId="6" borderId="9" xfId="0" applyNumberFormat="1" applyFont="1" applyFill="1" applyBorder="1">
      <alignment vertical="center"/>
    </xf>
    <xf numFmtId="177" fontId="9" fillId="6" borderId="10" xfId="0" applyNumberFormat="1" applyFont="1" applyFill="1" applyBorder="1">
      <alignment vertical="center"/>
    </xf>
    <xf numFmtId="0" fontId="15" fillId="0" borderId="0" xfId="0" applyFont="1">
      <alignment vertical="center"/>
    </xf>
    <xf numFmtId="0" fontId="16" fillId="8" borderId="0" xfId="4" applyFont="1" applyFill="1" applyBorder="1">
      <alignment vertical="center"/>
    </xf>
    <xf numFmtId="176" fontId="16" fillId="8" borderId="0" xfId="4" applyNumberFormat="1" applyFont="1" applyFill="1" applyBorder="1">
      <alignment vertical="center"/>
    </xf>
    <xf numFmtId="0" fontId="16" fillId="8" borderId="1" xfId="4" applyFont="1" applyFill="1" applyBorder="1">
      <alignment vertical="center"/>
    </xf>
    <xf numFmtId="176" fontId="16" fillId="8" borderId="1" xfId="4" applyNumberFormat="1" applyFont="1" applyFill="1" applyBorder="1">
      <alignment vertical="center"/>
    </xf>
    <xf numFmtId="0" fontId="16" fillId="8" borderId="0" xfId="4" applyFont="1" applyFill="1" applyBorder="1" applyAlignment="1">
      <alignment horizontal="center" vertical="center"/>
    </xf>
    <xf numFmtId="176" fontId="17" fillId="0" borderId="1" xfId="4" applyNumberFormat="1" applyFont="1" applyBorder="1" applyAlignment="1">
      <alignment horizontal="left" vertical="center"/>
    </xf>
    <xf numFmtId="176" fontId="8" fillId="0" borderId="0" xfId="4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7" borderId="0" xfId="0" applyFont="1" applyFill="1" applyAlignment="1">
      <alignment horizontal="left" vertical="center"/>
    </xf>
  </cellXfs>
  <cellStyles count="5">
    <cellStyle name="一般" xfId="0" builtinId="0"/>
    <cellStyle name="一般 2" xfId="4"/>
    <cellStyle name="中等" xfId="3" builtinId="28"/>
    <cellStyle name="好" xfId="1" builtinId="26"/>
    <cellStyle name="壞" xfId="2" builtinId="27"/>
  </cellStyles>
  <dxfs count="0"/>
  <tableStyles count="0" defaultTableStyle="TableStyleMedium2" defaultPivotStyle="PivotStyleLight16"/>
  <colors>
    <mruColors>
      <color rgb="FF0066FF"/>
      <color rgb="FF33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'1.變數-採用標準正規化變換'!$B$3:$B$22</c:f>
              <c:numCache>
                <c:formatCode>General</c:formatCode>
                <c:ptCount val="20"/>
                <c:pt idx="0">
                  <c:v>40</c:v>
                </c:pt>
                <c:pt idx="1">
                  <c:v>44</c:v>
                </c:pt>
                <c:pt idx="2">
                  <c:v>71</c:v>
                </c:pt>
                <c:pt idx="3">
                  <c:v>46</c:v>
                </c:pt>
                <c:pt idx="4">
                  <c:v>63</c:v>
                </c:pt>
                <c:pt idx="5">
                  <c:v>49</c:v>
                </c:pt>
                <c:pt idx="6">
                  <c:v>22</c:v>
                </c:pt>
                <c:pt idx="7">
                  <c:v>59</c:v>
                </c:pt>
                <c:pt idx="8">
                  <c:v>38</c:v>
                </c:pt>
                <c:pt idx="9">
                  <c:v>46</c:v>
                </c:pt>
                <c:pt idx="10">
                  <c:v>55</c:v>
                </c:pt>
                <c:pt idx="11">
                  <c:v>43</c:v>
                </c:pt>
                <c:pt idx="12">
                  <c:v>43</c:v>
                </c:pt>
                <c:pt idx="13">
                  <c:v>57</c:v>
                </c:pt>
                <c:pt idx="14">
                  <c:v>49</c:v>
                </c:pt>
                <c:pt idx="15">
                  <c:v>35</c:v>
                </c:pt>
                <c:pt idx="16">
                  <c:v>44</c:v>
                </c:pt>
                <c:pt idx="17">
                  <c:v>28</c:v>
                </c:pt>
                <c:pt idx="18">
                  <c:v>41</c:v>
                </c:pt>
                <c:pt idx="19">
                  <c:v>45</c:v>
                </c:pt>
              </c:numCache>
            </c:numRef>
          </c:xVal>
          <c:yVal>
            <c:numRef>
              <c:f>'1.變數-採用標準正規化變換'!$C$3:$C$22</c:f>
              <c:numCache>
                <c:formatCode>General</c:formatCode>
                <c:ptCount val="20"/>
                <c:pt idx="0">
                  <c:v>5</c:v>
                </c:pt>
                <c:pt idx="1">
                  <c:v>14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11</c:v>
                </c:pt>
                <c:pt idx="6">
                  <c:v>13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18</c:v>
                </c:pt>
                <c:pt idx="11">
                  <c:v>8</c:v>
                </c:pt>
                <c:pt idx="12">
                  <c:v>11</c:v>
                </c:pt>
                <c:pt idx="13">
                  <c:v>14</c:v>
                </c:pt>
                <c:pt idx="14">
                  <c:v>17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8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59-45E4-ABBD-6EA4B4A81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795136"/>
        <c:axId val="1591791392"/>
      </c:scatterChart>
      <c:valAx>
        <c:axId val="159179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1791392"/>
        <c:crosses val="autoZero"/>
        <c:crossBetween val="midCat"/>
      </c:valAx>
      <c:valAx>
        <c:axId val="159179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1795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'1.變數-採用標準正規化變換'!$K$3:$K$22</c:f>
              <c:numCache>
                <c:formatCode>General</c:formatCode>
                <c:ptCount val="20"/>
                <c:pt idx="0">
                  <c:v>-0.51685775017924274</c:v>
                </c:pt>
                <c:pt idx="1">
                  <c:v>-0.16644571615941706</c:v>
                </c:pt>
                <c:pt idx="2">
                  <c:v>2.198835513474406</c:v>
                </c:pt>
                <c:pt idx="3">
                  <c:v>8.7603008504957662E-3</c:v>
                </c:pt>
                <c:pt idx="4">
                  <c:v>1.4980114454347548</c:v>
                </c:pt>
                <c:pt idx="5">
                  <c:v>0.27156932636536502</c:v>
                </c:pt>
                <c:pt idx="6">
                  <c:v>-2.0937119032684581</c:v>
                </c:pt>
                <c:pt idx="7">
                  <c:v>1.1475994114149293</c:v>
                </c:pt>
                <c:pt idx="8">
                  <c:v>-0.69206376718915552</c:v>
                </c:pt>
                <c:pt idx="9">
                  <c:v>8.7603008504957662E-3</c:v>
                </c:pt>
                <c:pt idx="10">
                  <c:v>0.79718737739510348</c:v>
                </c:pt>
                <c:pt idx="11">
                  <c:v>-0.2540487246643735</c:v>
                </c:pt>
                <c:pt idx="12">
                  <c:v>-0.2540487246643735</c:v>
                </c:pt>
                <c:pt idx="13">
                  <c:v>0.97239339440501638</c:v>
                </c:pt>
                <c:pt idx="14">
                  <c:v>0.27156932636536502</c:v>
                </c:pt>
                <c:pt idx="15">
                  <c:v>-0.95487279270402481</c:v>
                </c:pt>
                <c:pt idx="16">
                  <c:v>-0.16644571615941706</c:v>
                </c:pt>
                <c:pt idx="17">
                  <c:v>-1.5680938522387198</c:v>
                </c:pt>
                <c:pt idx="18">
                  <c:v>-0.42925474167428629</c:v>
                </c:pt>
                <c:pt idx="19">
                  <c:v>-7.884270765446065E-2</c:v>
                </c:pt>
              </c:numCache>
            </c:numRef>
          </c:xVal>
          <c:yVal>
            <c:numRef>
              <c:f>'1.變數-採用標準正規化變換'!$L$3:$L$22</c:f>
              <c:numCache>
                <c:formatCode>General</c:formatCode>
                <c:ptCount val="20"/>
                <c:pt idx="0">
                  <c:v>-0.9416946500252672</c:v>
                </c:pt>
                <c:pt idx="1">
                  <c:v>0.98449895229914286</c:v>
                </c:pt>
                <c:pt idx="2">
                  <c:v>-1.583759184133404</c:v>
                </c:pt>
                <c:pt idx="3">
                  <c:v>-0.72767313865588834</c:v>
                </c:pt>
                <c:pt idx="4">
                  <c:v>-1.3697376727640251</c:v>
                </c:pt>
                <c:pt idx="5">
                  <c:v>0.34243441819100617</c:v>
                </c:pt>
                <c:pt idx="6">
                  <c:v>0.770477440929764</c:v>
                </c:pt>
                <c:pt idx="7">
                  <c:v>-2.0118022068721619</c:v>
                </c:pt>
                <c:pt idx="8">
                  <c:v>0.12841290682162726</c:v>
                </c:pt>
                <c:pt idx="9">
                  <c:v>0.12841290682162726</c:v>
                </c:pt>
                <c:pt idx="10">
                  <c:v>1.8405849977766584</c:v>
                </c:pt>
                <c:pt idx="11">
                  <c:v>-0.29963011591713057</c:v>
                </c:pt>
                <c:pt idx="12">
                  <c:v>0.34243441819100617</c:v>
                </c:pt>
                <c:pt idx="13">
                  <c:v>0.98449895229914286</c:v>
                </c:pt>
                <c:pt idx="14">
                  <c:v>1.6265634864072795</c:v>
                </c:pt>
                <c:pt idx="15">
                  <c:v>-0.29963011591713057</c:v>
                </c:pt>
                <c:pt idx="16">
                  <c:v>0.12841290682162726</c:v>
                </c:pt>
                <c:pt idx="17">
                  <c:v>0.12841290682162726</c:v>
                </c:pt>
                <c:pt idx="18">
                  <c:v>-0.29963011591713057</c:v>
                </c:pt>
                <c:pt idx="19">
                  <c:v>0.12841290682162726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3E-4DC8-86F7-937179B96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463984"/>
        <c:axId val="1589462320"/>
      </c:scatterChart>
      <c:valAx>
        <c:axId val="158946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9462320"/>
        <c:crosses val="autoZero"/>
        <c:crossBetween val="midCat"/>
      </c:valAx>
      <c:valAx>
        <c:axId val="158946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946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800"/>
              <a:t>旅行社重點分析圖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1747299650983156E-2"/>
          <c:y val="0.10216787493198819"/>
          <c:w val="0.94287698069307491"/>
          <c:h val="0.8432526071428108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'6.分析-4個Outcome'!$D$2:$D$21</c:f>
              <c:numCache>
                <c:formatCode>General</c:formatCode>
                <c:ptCount val="20"/>
                <c:pt idx="0">
                  <c:v>40</c:v>
                </c:pt>
                <c:pt idx="1">
                  <c:v>44</c:v>
                </c:pt>
                <c:pt idx="2">
                  <c:v>71</c:v>
                </c:pt>
                <c:pt idx="3">
                  <c:v>46</c:v>
                </c:pt>
                <c:pt idx="4">
                  <c:v>63</c:v>
                </c:pt>
                <c:pt idx="5">
                  <c:v>49</c:v>
                </c:pt>
                <c:pt idx="6">
                  <c:v>22</c:v>
                </c:pt>
                <c:pt idx="7">
                  <c:v>59</c:v>
                </c:pt>
                <c:pt idx="8">
                  <c:v>38</c:v>
                </c:pt>
                <c:pt idx="9">
                  <c:v>46</c:v>
                </c:pt>
                <c:pt idx="10">
                  <c:v>55</c:v>
                </c:pt>
                <c:pt idx="11">
                  <c:v>43</c:v>
                </c:pt>
                <c:pt idx="12">
                  <c:v>43</c:v>
                </c:pt>
                <c:pt idx="13">
                  <c:v>57</c:v>
                </c:pt>
                <c:pt idx="14">
                  <c:v>49</c:v>
                </c:pt>
                <c:pt idx="15">
                  <c:v>35</c:v>
                </c:pt>
                <c:pt idx="16">
                  <c:v>44</c:v>
                </c:pt>
                <c:pt idx="17">
                  <c:v>28</c:v>
                </c:pt>
                <c:pt idx="18">
                  <c:v>41</c:v>
                </c:pt>
                <c:pt idx="19">
                  <c:v>45</c:v>
                </c:pt>
              </c:numCache>
            </c:numRef>
          </c:xVal>
          <c:yVal>
            <c:numRef>
              <c:f>'6.分析-4個Outcome'!$E$2:$E$21</c:f>
              <c:numCache>
                <c:formatCode>General</c:formatCode>
                <c:ptCount val="20"/>
                <c:pt idx="0">
                  <c:v>5</c:v>
                </c:pt>
                <c:pt idx="1">
                  <c:v>14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11</c:v>
                </c:pt>
                <c:pt idx="6">
                  <c:v>13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18</c:v>
                </c:pt>
                <c:pt idx="11">
                  <c:v>8</c:v>
                </c:pt>
                <c:pt idx="12">
                  <c:v>11</c:v>
                </c:pt>
                <c:pt idx="13">
                  <c:v>14</c:v>
                </c:pt>
                <c:pt idx="14">
                  <c:v>17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8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75-49FB-8393-EE96B054423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9943160185090604E-2"/>
                  <c:y val="-7.9994762594590527E-2"/>
                </c:manualLayout>
              </c:layout>
              <c:tx>
                <c:rich>
                  <a:bodyPr/>
                  <a:lstStyle/>
                  <a:p>
                    <a:r>
                      <a:rPr lang="zh-TW" altLang="en-US"/>
                      <a:t>聚類</a:t>
                    </a:r>
                    <a:r>
                      <a:rPr lang="en-US" altLang="zh-TW"/>
                      <a:t>1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76A-49AA-92E9-235C8E2AEE02}"/>
                </c:ext>
              </c:extLst>
            </c:dLbl>
            <c:dLbl>
              <c:idx val="1"/>
              <c:layout>
                <c:manualLayout>
                  <c:x val="-8.8857998103799886E-3"/>
                  <c:y val="-5.6529204848796144E-2"/>
                </c:manualLayout>
              </c:layout>
              <c:tx>
                <c:rich>
                  <a:bodyPr/>
                  <a:lstStyle/>
                  <a:p>
                    <a:r>
                      <a:rPr lang="zh-TW" altLang="en-US"/>
                      <a:t>聚類</a:t>
                    </a:r>
                    <a:r>
                      <a:rPr lang="en-US" altLang="zh-TW"/>
                      <a:t>2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76A-49AA-92E9-235C8E2AEE02}"/>
                </c:ext>
              </c:extLst>
            </c:dLbl>
            <c:dLbl>
              <c:idx val="2"/>
              <c:layout>
                <c:manualLayout>
                  <c:x val="-5.788185892424965E-2"/>
                  <c:y val="-0.13887264071496028"/>
                </c:manualLayout>
              </c:layout>
              <c:tx>
                <c:rich>
                  <a:bodyPr/>
                  <a:lstStyle/>
                  <a:p>
                    <a:r>
                      <a:rPr lang="zh-TW" altLang="en-US"/>
                      <a:t>聚類</a:t>
                    </a:r>
                    <a:r>
                      <a:rPr lang="en-US" altLang="zh-TW"/>
                      <a:t>3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76A-49AA-92E9-235C8E2AEE02}"/>
                </c:ext>
              </c:extLst>
            </c:dLbl>
            <c:spPr>
              <a:noFill/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dk1"/>
                      </a:solidFill>
                      <a:prstDash val="solid"/>
                      <a:miter lim="800000"/>
                    </a:ln>
                    <a:effectLst/>
                  </c:spPr>
                </c15:leaderLines>
              </c:ext>
            </c:extLst>
          </c:dLbls>
          <c:xVal>
            <c:numRef>
              <c:f>'6.分析-4個Outcome'!$I$9:$K$9</c:f>
              <c:numCache>
                <c:formatCode>0.0_ </c:formatCode>
                <c:ptCount val="3"/>
                <c:pt idx="0">
                  <c:v>64.333333333333329</c:v>
                </c:pt>
                <c:pt idx="1">
                  <c:v>50.8</c:v>
                </c:pt>
                <c:pt idx="2">
                  <c:v>39.25</c:v>
                </c:pt>
              </c:numCache>
            </c:numRef>
          </c:xVal>
          <c:yVal>
            <c:numRef>
              <c:f>'6.分析-4個Outcome'!$I$10:$K$10</c:f>
              <c:numCache>
                <c:formatCode>0.0_ </c:formatCode>
                <c:ptCount val="3"/>
                <c:pt idx="0">
                  <c:v>-7.7333333333333325</c:v>
                </c:pt>
                <c:pt idx="1">
                  <c:v>14.8</c:v>
                </c:pt>
                <c:pt idx="2">
                  <c:v>9.0833333333333339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75-49FB-8393-EE96B0544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545696"/>
        <c:axId val="426552352"/>
      </c:scatterChart>
      <c:valAx>
        <c:axId val="42654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6552352"/>
        <c:crosses val="autoZero"/>
        <c:crossBetween val="midCat"/>
      </c:valAx>
      <c:valAx>
        <c:axId val="42655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654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938895</xdr:colOff>
      <xdr:row>20</xdr:row>
      <xdr:rowOff>136072</xdr:rowOff>
    </xdr:from>
    <xdr:to>
      <xdr:col>8</xdr:col>
      <xdr:colOff>1</xdr:colOff>
      <xdr:row>36</xdr:row>
      <xdr:rowOff>81643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285750</xdr:colOff>
      <xdr:row>3</xdr:row>
      <xdr:rowOff>63951</xdr:rowOff>
    </xdr:from>
    <xdr:to>
      <xdr:col>24</xdr:col>
      <xdr:colOff>68035</xdr:colOff>
      <xdr:row>22</xdr:row>
      <xdr:rowOff>244928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10</xdr:row>
      <xdr:rowOff>7620</xdr:rowOff>
    </xdr:from>
    <xdr:to>
      <xdr:col>14</xdr:col>
      <xdr:colOff>403860</xdr:colOff>
      <xdr:row>15</xdr:row>
      <xdr:rowOff>137160</xdr:rowOff>
    </xdr:to>
    <xdr:sp macro="" textlink="">
      <xdr:nvSpPr>
        <xdr:cNvPr id="2" name="向右箭號 1"/>
        <xdr:cNvSpPr/>
      </xdr:nvSpPr>
      <xdr:spPr>
        <a:xfrm>
          <a:off x="8313420" y="2065020"/>
          <a:ext cx="3398520" cy="1158240"/>
        </a:xfrm>
        <a:prstGeom prst="rightArrow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 sz="1600"/>
            <a:t>第一次類聚與原始聚類不同，繼續</a:t>
          </a:r>
          <a:r>
            <a:rPr lang="en-US" altLang="zh-TW" sz="1600"/>
            <a:t>(</a:t>
          </a:r>
          <a:r>
            <a:rPr lang="zh-TW" altLang="en-US" sz="1600"/>
            <a:t>工作表</a:t>
          </a:r>
          <a:r>
            <a:rPr lang="en-US" altLang="zh-TW" sz="1600"/>
            <a:t>3)</a:t>
          </a:r>
          <a:endParaRPr lang="zh-TW" alt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464820</xdr:colOff>
      <xdr:row>10</xdr:row>
      <xdr:rowOff>30480</xdr:rowOff>
    </xdr:from>
    <xdr:to>
      <xdr:col>14</xdr:col>
      <xdr:colOff>411480</xdr:colOff>
      <xdr:row>16</xdr:row>
      <xdr:rowOff>129540</xdr:rowOff>
    </xdr:to>
    <xdr:sp macro="" textlink="">
      <xdr:nvSpPr>
        <xdr:cNvPr id="2" name="向右箭號 1"/>
        <xdr:cNvSpPr/>
      </xdr:nvSpPr>
      <xdr:spPr>
        <a:xfrm>
          <a:off x="8488680" y="2087880"/>
          <a:ext cx="3398520" cy="1333500"/>
        </a:xfrm>
        <a:prstGeom prst="rightArrow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 sz="1600"/>
            <a:t>第二次類聚與第一次聚類不同，繼續</a:t>
          </a:r>
          <a:r>
            <a:rPr lang="en-US" altLang="zh-TW" sz="1600"/>
            <a:t>(</a:t>
          </a:r>
          <a:r>
            <a:rPr lang="zh-TW" altLang="en-US" sz="1600"/>
            <a:t>工作表</a:t>
          </a:r>
          <a:r>
            <a:rPr lang="en-US" altLang="zh-TW" sz="1600"/>
            <a:t>4)</a:t>
          </a:r>
          <a:endParaRPr lang="zh-TW" altLang="en-US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464820</xdr:colOff>
      <xdr:row>9</xdr:row>
      <xdr:rowOff>15240</xdr:rowOff>
    </xdr:from>
    <xdr:to>
      <xdr:col>14</xdr:col>
      <xdr:colOff>411480</xdr:colOff>
      <xdr:row>14</xdr:row>
      <xdr:rowOff>198120</xdr:rowOff>
    </xdr:to>
    <xdr:sp macro="" textlink="">
      <xdr:nvSpPr>
        <xdr:cNvPr id="2" name="向右箭號 1"/>
        <xdr:cNvSpPr/>
      </xdr:nvSpPr>
      <xdr:spPr>
        <a:xfrm>
          <a:off x="8595360" y="1866900"/>
          <a:ext cx="3398520" cy="1211580"/>
        </a:xfrm>
        <a:prstGeom prst="rightArrow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 sz="1600"/>
            <a:t>第三次類聚與第二次聚類不同，繼續</a:t>
          </a:r>
          <a:r>
            <a:rPr lang="en-US" altLang="zh-TW" sz="1600"/>
            <a:t>(</a:t>
          </a:r>
          <a:r>
            <a:rPr lang="zh-TW" altLang="en-US" sz="1600"/>
            <a:t>工作表</a:t>
          </a:r>
          <a:r>
            <a:rPr lang="en-US" altLang="zh-TW" sz="1600"/>
            <a:t>5)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8</xdr:row>
      <xdr:rowOff>160020</xdr:rowOff>
    </xdr:from>
    <xdr:to>
      <xdr:col>13</xdr:col>
      <xdr:colOff>807720</xdr:colOff>
      <xdr:row>10</xdr:row>
      <xdr:rowOff>167640</xdr:rowOff>
    </xdr:to>
    <xdr:sp macro="" textlink="">
      <xdr:nvSpPr>
        <xdr:cNvPr id="2" name="圓角矩形 1"/>
        <xdr:cNvSpPr/>
      </xdr:nvSpPr>
      <xdr:spPr>
        <a:xfrm>
          <a:off x="8214360" y="1805940"/>
          <a:ext cx="3086100" cy="41910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600"/>
            <a:t>第四次類聚與第三次聚類相同，結束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87084</xdr:colOff>
      <xdr:row>21</xdr:row>
      <xdr:rowOff>142869</xdr:rowOff>
    </xdr:from>
    <xdr:to>
      <xdr:col>9</xdr:col>
      <xdr:colOff>566057</xdr:colOff>
      <xdr:row>46</xdr:row>
      <xdr:rowOff>43542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zoomScale="85" zoomScaleNormal="85" workbookViewId="0">
      <selection activeCell="Q8" sqref="Q8"/>
    </sheetView>
  </sheetViews>
  <sheetFormatPr defaultRowHeight="16.5"/>
  <cols>
    <col min="4" max="4" width="12.5" customWidth="1"/>
    <col min="12" max="12" width="8.875" customWidth="1"/>
    <col min="13" max="13" width="9.5" customWidth="1"/>
    <col min="14" max="14" width="8.875" customWidth="1"/>
  </cols>
  <sheetData>
    <row r="1" spans="1:14" ht="21">
      <c r="A1" s="41" t="s">
        <v>0</v>
      </c>
      <c r="B1" s="41"/>
      <c r="C1" s="41"/>
      <c r="D1" s="35"/>
      <c r="E1" s="35" t="s">
        <v>49</v>
      </c>
    </row>
    <row r="2" spans="1:14" ht="21">
      <c r="A2" s="38" t="s">
        <v>1</v>
      </c>
      <c r="B2" s="38" t="s">
        <v>2</v>
      </c>
      <c r="C2" s="38" t="s">
        <v>3</v>
      </c>
      <c r="D2" s="10" t="s">
        <v>8</v>
      </c>
      <c r="L2" s="38"/>
      <c r="M2" s="38"/>
      <c r="N2" s="38"/>
    </row>
    <row r="3" spans="1:14" ht="21">
      <c r="A3" s="39">
        <v>1</v>
      </c>
      <c r="B3" s="38">
        <v>40</v>
      </c>
      <c r="C3" s="38">
        <v>5</v>
      </c>
      <c r="D3" s="13">
        <v>1</v>
      </c>
      <c r="L3" s="39"/>
    </row>
    <row r="4" spans="1:14" ht="21">
      <c r="A4" s="39">
        <v>2</v>
      </c>
      <c r="B4" s="38">
        <v>44</v>
      </c>
      <c r="C4" s="38">
        <v>14</v>
      </c>
      <c r="D4" s="13">
        <v>1</v>
      </c>
      <c r="L4" s="39"/>
    </row>
    <row r="5" spans="1:14" ht="21">
      <c r="A5" s="39">
        <v>3</v>
      </c>
      <c r="B5" s="38">
        <v>71</v>
      </c>
      <c r="C5" s="38">
        <v>2</v>
      </c>
      <c r="D5" s="13">
        <v>1</v>
      </c>
      <c r="L5" s="39"/>
    </row>
    <row r="6" spans="1:14" ht="21">
      <c r="A6" s="39">
        <v>4</v>
      </c>
      <c r="B6" s="38">
        <v>46</v>
      </c>
      <c r="C6" s="38">
        <v>6</v>
      </c>
      <c r="D6" s="13">
        <v>1</v>
      </c>
      <c r="L6" s="39"/>
    </row>
    <row r="7" spans="1:14" ht="21">
      <c r="A7" s="39">
        <v>5</v>
      </c>
      <c r="B7" s="38">
        <v>63</v>
      </c>
      <c r="C7" s="38">
        <v>3</v>
      </c>
      <c r="D7" s="13">
        <v>1</v>
      </c>
      <c r="L7" s="39"/>
    </row>
    <row r="8" spans="1:14" ht="21">
      <c r="A8" s="39">
        <v>6</v>
      </c>
      <c r="B8" s="38">
        <v>49</v>
      </c>
      <c r="C8" s="38">
        <v>11</v>
      </c>
      <c r="D8" s="13">
        <v>1</v>
      </c>
      <c r="L8" s="39"/>
    </row>
    <row r="9" spans="1:14" ht="21">
      <c r="A9" s="39">
        <v>7</v>
      </c>
      <c r="B9" s="38">
        <v>22</v>
      </c>
      <c r="C9" s="38">
        <v>13</v>
      </c>
      <c r="D9" s="13">
        <v>1</v>
      </c>
      <c r="L9" s="39"/>
    </row>
    <row r="10" spans="1:14" ht="21">
      <c r="A10" s="39">
        <v>8</v>
      </c>
      <c r="B10" s="38">
        <v>59</v>
      </c>
      <c r="C10" s="38">
        <v>0</v>
      </c>
      <c r="D10" s="22">
        <v>2</v>
      </c>
      <c r="L10" s="39"/>
    </row>
    <row r="11" spans="1:14" ht="21">
      <c r="A11" s="39">
        <v>9</v>
      </c>
      <c r="B11" s="38">
        <v>38</v>
      </c>
      <c r="C11" s="38">
        <v>10</v>
      </c>
      <c r="D11" s="22">
        <v>2</v>
      </c>
      <c r="L11" s="39"/>
    </row>
    <row r="12" spans="1:14" ht="21">
      <c r="A12" s="39">
        <v>10</v>
      </c>
      <c r="B12" s="38">
        <v>46</v>
      </c>
      <c r="C12" s="38">
        <v>10</v>
      </c>
      <c r="D12" s="22">
        <v>2</v>
      </c>
      <c r="L12" s="39"/>
    </row>
    <row r="13" spans="1:14" ht="21">
      <c r="A13" s="39">
        <v>11</v>
      </c>
      <c r="B13" s="38">
        <v>55</v>
      </c>
      <c r="C13" s="38">
        <v>18</v>
      </c>
      <c r="D13" s="22">
        <v>2</v>
      </c>
      <c r="L13" s="39"/>
    </row>
    <row r="14" spans="1:14" ht="21">
      <c r="A14" s="39">
        <v>12</v>
      </c>
      <c r="B14" s="38">
        <v>43</v>
      </c>
      <c r="C14" s="38">
        <v>8</v>
      </c>
      <c r="D14" s="22">
        <v>2</v>
      </c>
      <c r="L14" s="39"/>
    </row>
    <row r="15" spans="1:14" ht="21">
      <c r="A15" s="39">
        <v>13</v>
      </c>
      <c r="B15" s="38">
        <v>43</v>
      </c>
      <c r="C15" s="38">
        <v>11</v>
      </c>
      <c r="D15" s="22">
        <v>2</v>
      </c>
      <c r="L15" s="39"/>
    </row>
    <row r="16" spans="1:14" ht="21">
      <c r="A16" s="39">
        <v>14</v>
      </c>
      <c r="B16" s="38">
        <v>57</v>
      </c>
      <c r="C16" s="38">
        <v>14</v>
      </c>
      <c r="D16" s="22">
        <v>2</v>
      </c>
      <c r="L16" s="39"/>
    </row>
    <row r="17" spans="1:12" ht="21">
      <c r="A17" s="39">
        <v>15</v>
      </c>
      <c r="B17" s="38">
        <v>49</v>
      </c>
      <c r="C17" s="38">
        <v>17</v>
      </c>
      <c r="D17" s="23">
        <v>3</v>
      </c>
      <c r="L17" s="39"/>
    </row>
    <row r="18" spans="1:12" ht="21">
      <c r="A18" s="39">
        <v>16</v>
      </c>
      <c r="B18" s="38">
        <v>35</v>
      </c>
      <c r="C18" s="38">
        <v>8</v>
      </c>
      <c r="D18" s="23">
        <v>3</v>
      </c>
      <c r="L18" s="39"/>
    </row>
    <row r="19" spans="1:12" ht="21">
      <c r="A19" s="39">
        <v>17</v>
      </c>
      <c r="B19" s="38">
        <v>44</v>
      </c>
      <c r="C19" s="38">
        <v>10</v>
      </c>
      <c r="D19" s="23">
        <v>3</v>
      </c>
      <c r="L19" s="39"/>
    </row>
    <row r="20" spans="1:12" ht="21">
      <c r="A20" s="39">
        <v>18</v>
      </c>
      <c r="B20" s="38">
        <v>28</v>
      </c>
      <c r="C20" s="38">
        <v>10</v>
      </c>
      <c r="D20" s="23">
        <v>3</v>
      </c>
      <c r="L20" s="39"/>
    </row>
    <row r="21" spans="1:12" ht="21">
      <c r="A21" s="39">
        <v>19</v>
      </c>
      <c r="B21" s="38">
        <v>41</v>
      </c>
      <c r="C21" s="38">
        <v>8</v>
      </c>
      <c r="D21" s="23">
        <v>3</v>
      </c>
      <c r="L21" s="39"/>
    </row>
    <row r="22" spans="1:12" ht="21">
      <c r="A22" s="39">
        <v>20</v>
      </c>
      <c r="B22" s="38">
        <v>45</v>
      </c>
      <c r="C22" s="38">
        <v>10</v>
      </c>
      <c r="D22" s="23">
        <v>3</v>
      </c>
      <c r="L22" s="39"/>
    </row>
  </sheetData>
  <mergeCells count="1">
    <mergeCell ref="A1:C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zoomScale="70" zoomScaleNormal="70" workbookViewId="0">
      <selection activeCell="C24" sqref="C24"/>
    </sheetView>
  </sheetViews>
  <sheetFormatPr defaultRowHeight="16.5"/>
  <cols>
    <col min="1" max="1" width="13.875" bestFit="1" customWidth="1"/>
    <col min="2" max="3" width="12.875" bestFit="1" customWidth="1"/>
    <col min="4" max="4" width="12.125" customWidth="1"/>
    <col min="5" max="5" width="13.875" customWidth="1"/>
    <col min="6" max="6" width="13.375" customWidth="1"/>
    <col min="7" max="7" width="14.125" customWidth="1"/>
    <col min="8" max="8" width="13.5" customWidth="1"/>
    <col min="9" max="9" width="15.5" customWidth="1"/>
    <col min="10" max="10" width="11.5" customWidth="1"/>
    <col min="11" max="11" width="28.5" customWidth="1"/>
    <col min="12" max="12" width="20.625" customWidth="1"/>
    <col min="13" max="13" width="16.125" customWidth="1"/>
  </cols>
  <sheetData>
    <row r="1" spans="1:13" ht="21">
      <c r="A1" s="42" t="s">
        <v>0</v>
      </c>
      <c r="B1" s="42"/>
      <c r="C1" s="42"/>
      <c r="D1" s="3"/>
      <c r="E1" s="3"/>
      <c r="F1" s="3"/>
      <c r="G1" s="3"/>
      <c r="H1" s="3"/>
      <c r="I1" s="3"/>
    </row>
    <row r="2" spans="1:13" ht="21">
      <c r="A2" s="36" t="s">
        <v>1</v>
      </c>
      <c r="B2" s="36" t="s">
        <v>2</v>
      </c>
      <c r="C2" s="36" t="s">
        <v>3</v>
      </c>
      <c r="D2" s="10" t="s">
        <v>8</v>
      </c>
      <c r="E2" s="5" t="s">
        <v>50</v>
      </c>
      <c r="F2" s="5"/>
      <c r="G2" s="5"/>
      <c r="H2" s="5"/>
      <c r="I2" s="3"/>
      <c r="J2" s="40" t="s">
        <v>1</v>
      </c>
      <c r="K2" s="40" t="s">
        <v>2</v>
      </c>
      <c r="L2" s="40" t="s">
        <v>3</v>
      </c>
      <c r="M2" s="10" t="s">
        <v>8</v>
      </c>
    </row>
    <row r="3" spans="1:13" ht="21">
      <c r="A3" s="37">
        <v>1</v>
      </c>
      <c r="B3" s="36">
        <v>40</v>
      </c>
      <c r="C3" s="36">
        <v>5</v>
      </c>
      <c r="D3" s="13">
        <v>1</v>
      </c>
      <c r="E3" s="5" t="s">
        <v>51</v>
      </c>
      <c r="F3" s="5"/>
      <c r="G3" s="5"/>
      <c r="H3" s="5"/>
      <c r="I3" s="3"/>
      <c r="J3" s="37">
        <v>1</v>
      </c>
      <c r="K3">
        <f>(B3-$B$23)/$B$24</f>
        <v>-0.51685775017924274</v>
      </c>
      <c r="L3">
        <f>(C3-$C$23)/$C$24</f>
        <v>-0.9416946500252672</v>
      </c>
      <c r="M3" s="13">
        <v>1</v>
      </c>
    </row>
    <row r="4" spans="1:13" ht="21">
      <c r="A4" s="37">
        <v>2</v>
      </c>
      <c r="B4" s="36">
        <v>44</v>
      </c>
      <c r="C4" s="36">
        <v>14</v>
      </c>
      <c r="D4" s="13">
        <v>1</v>
      </c>
      <c r="E4" s="3"/>
      <c r="F4" s="3"/>
      <c r="G4" s="3"/>
      <c r="H4" s="3"/>
      <c r="I4" s="3"/>
      <c r="J4" s="37">
        <v>2</v>
      </c>
      <c r="K4">
        <f t="shared" ref="K4:K22" si="0">(B4-$B$23)/$B$24</f>
        <v>-0.16644571615941706</v>
      </c>
      <c r="L4">
        <f t="shared" ref="L4:L22" si="1">(C4-$C$23)/$C$24</f>
        <v>0.98449895229914286</v>
      </c>
      <c r="M4" s="13">
        <v>1</v>
      </c>
    </row>
    <row r="5" spans="1:13" ht="21">
      <c r="A5" s="37">
        <v>3</v>
      </c>
      <c r="B5" s="36">
        <v>71</v>
      </c>
      <c r="C5" s="36">
        <v>2</v>
      </c>
      <c r="D5" s="13">
        <v>1</v>
      </c>
      <c r="E5" s="3"/>
      <c r="F5" s="3"/>
      <c r="G5" s="3"/>
      <c r="H5" s="3"/>
      <c r="I5" s="3"/>
      <c r="J5" s="37">
        <v>3</v>
      </c>
      <c r="K5">
        <f t="shared" si="0"/>
        <v>2.198835513474406</v>
      </c>
      <c r="L5">
        <f t="shared" si="1"/>
        <v>-1.583759184133404</v>
      </c>
      <c r="M5" s="13">
        <v>1</v>
      </c>
    </row>
    <row r="6" spans="1:13" ht="21">
      <c r="A6" s="37">
        <v>4</v>
      </c>
      <c r="B6" s="36">
        <v>46</v>
      </c>
      <c r="C6" s="36">
        <v>6</v>
      </c>
      <c r="D6" s="13">
        <v>1</v>
      </c>
      <c r="E6" s="3"/>
      <c r="F6" s="3"/>
      <c r="G6" s="3"/>
      <c r="H6" s="3"/>
      <c r="I6" s="3"/>
      <c r="J6" s="37">
        <v>4</v>
      </c>
      <c r="K6">
        <f t="shared" si="0"/>
        <v>8.7603008504957662E-3</v>
      </c>
      <c r="L6">
        <f t="shared" si="1"/>
        <v>-0.72767313865588834</v>
      </c>
      <c r="M6" s="13">
        <v>1</v>
      </c>
    </row>
    <row r="7" spans="1:13" ht="21">
      <c r="A7" s="37">
        <v>5</v>
      </c>
      <c r="B7" s="36">
        <v>63</v>
      </c>
      <c r="C7" s="36">
        <v>3</v>
      </c>
      <c r="D7" s="13">
        <v>1</v>
      </c>
      <c r="E7" s="3"/>
      <c r="F7" s="3"/>
      <c r="G7" s="3"/>
      <c r="H7" s="3"/>
      <c r="I7" s="3"/>
      <c r="J7" s="37">
        <v>5</v>
      </c>
      <c r="K7">
        <f t="shared" si="0"/>
        <v>1.4980114454347548</v>
      </c>
      <c r="L7">
        <f t="shared" si="1"/>
        <v>-1.3697376727640251</v>
      </c>
      <c r="M7" s="13">
        <v>1</v>
      </c>
    </row>
    <row r="8" spans="1:13" ht="21">
      <c r="A8" s="37">
        <v>6</v>
      </c>
      <c r="B8" s="36">
        <v>49</v>
      </c>
      <c r="C8" s="36">
        <v>11</v>
      </c>
      <c r="D8" s="13">
        <v>1</v>
      </c>
      <c r="E8" s="3"/>
      <c r="F8" s="3"/>
      <c r="G8" s="3"/>
      <c r="H8" s="3"/>
      <c r="I8" s="3"/>
      <c r="J8" s="37">
        <v>6</v>
      </c>
      <c r="K8">
        <f t="shared" si="0"/>
        <v>0.27156932636536502</v>
      </c>
      <c r="L8">
        <f t="shared" si="1"/>
        <v>0.34243441819100617</v>
      </c>
      <c r="M8" s="13">
        <v>1</v>
      </c>
    </row>
    <row r="9" spans="1:13" ht="21">
      <c r="A9" s="37">
        <v>7</v>
      </c>
      <c r="B9" s="36">
        <v>22</v>
      </c>
      <c r="C9" s="36">
        <v>13</v>
      </c>
      <c r="D9" s="13">
        <v>1</v>
      </c>
      <c r="E9" s="3"/>
      <c r="F9" s="3"/>
      <c r="G9" s="3"/>
      <c r="H9" s="3"/>
      <c r="I9" s="3"/>
      <c r="J9" s="37">
        <v>7</v>
      </c>
      <c r="K9">
        <f t="shared" si="0"/>
        <v>-2.0937119032684581</v>
      </c>
      <c r="L9">
        <f t="shared" si="1"/>
        <v>0.770477440929764</v>
      </c>
      <c r="M9" s="13">
        <v>1</v>
      </c>
    </row>
    <row r="10" spans="1:13" ht="21">
      <c r="A10" s="37">
        <v>8</v>
      </c>
      <c r="B10" s="36">
        <v>59</v>
      </c>
      <c r="C10" s="36">
        <v>0</v>
      </c>
      <c r="D10" s="22">
        <v>2</v>
      </c>
      <c r="E10" s="3"/>
      <c r="F10" s="3"/>
      <c r="G10" s="3"/>
      <c r="H10" s="3"/>
      <c r="I10" s="3"/>
      <c r="J10" s="37">
        <v>8</v>
      </c>
      <c r="K10">
        <f t="shared" si="0"/>
        <v>1.1475994114149293</v>
      </c>
      <c r="L10">
        <f t="shared" si="1"/>
        <v>-2.0118022068721619</v>
      </c>
      <c r="M10" s="22">
        <v>2</v>
      </c>
    </row>
    <row r="11" spans="1:13" ht="21">
      <c r="A11" s="37">
        <v>9</v>
      </c>
      <c r="B11" s="36">
        <v>38</v>
      </c>
      <c r="C11" s="36">
        <v>10</v>
      </c>
      <c r="D11" s="22">
        <v>2</v>
      </c>
      <c r="E11" s="3"/>
      <c r="F11" s="3"/>
      <c r="G11" s="3"/>
      <c r="H11" s="3"/>
      <c r="I11" s="3"/>
      <c r="J11" s="37">
        <v>9</v>
      </c>
      <c r="K11">
        <f t="shared" si="0"/>
        <v>-0.69206376718915552</v>
      </c>
      <c r="L11">
        <f t="shared" si="1"/>
        <v>0.12841290682162726</v>
      </c>
      <c r="M11" s="22">
        <v>2</v>
      </c>
    </row>
    <row r="12" spans="1:13" ht="21">
      <c r="A12" s="37">
        <v>10</v>
      </c>
      <c r="B12" s="36">
        <v>46</v>
      </c>
      <c r="C12" s="36">
        <v>10</v>
      </c>
      <c r="D12" s="22">
        <v>2</v>
      </c>
      <c r="E12" s="3"/>
      <c r="F12" s="3"/>
      <c r="G12" s="3"/>
      <c r="H12" s="3"/>
      <c r="I12" s="3"/>
      <c r="J12" s="37">
        <v>10</v>
      </c>
      <c r="K12">
        <f t="shared" si="0"/>
        <v>8.7603008504957662E-3</v>
      </c>
      <c r="L12">
        <f t="shared" si="1"/>
        <v>0.12841290682162726</v>
      </c>
      <c r="M12" s="22">
        <v>2</v>
      </c>
    </row>
    <row r="13" spans="1:13" ht="21">
      <c r="A13" s="37">
        <v>11</v>
      </c>
      <c r="B13" s="36">
        <v>55</v>
      </c>
      <c r="C13" s="36">
        <v>18</v>
      </c>
      <c r="D13" s="22">
        <v>2</v>
      </c>
      <c r="E13" s="3"/>
      <c r="F13" s="3"/>
      <c r="G13" s="3"/>
      <c r="H13" s="3"/>
      <c r="I13" s="3"/>
      <c r="J13" s="37">
        <v>11</v>
      </c>
      <c r="K13">
        <f t="shared" si="0"/>
        <v>0.79718737739510348</v>
      </c>
      <c r="L13">
        <f t="shared" si="1"/>
        <v>1.8405849977766584</v>
      </c>
      <c r="M13" s="22">
        <v>2</v>
      </c>
    </row>
    <row r="14" spans="1:13" ht="21">
      <c r="A14" s="37">
        <v>12</v>
      </c>
      <c r="B14" s="36">
        <v>43</v>
      </c>
      <c r="C14" s="36">
        <v>8</v>
      </c>
      <c r="D14" s="22">
        <v>2</v>
      </c>
      <c r="E14" s="3"/>
      <c r="F14" s="3"/>
      <c r="G14" s="3"/>
      <c r="H14" s="3"/>
      <c r="I14" s="3"/>
      <c r="J14" s="37">
        <v>12</v>
      </c>
      <c r="K14">
        <f t="shared" si="0"/>
        <v>-0.2540487246643735</v>
      </c>
      <c r="L14">
        <f t="shared" si="1"/>
        <v>-0.29963011591713057</v>
      </c>
      <c r="M14" s="22">
        <v>2</v>
      </c>
    </row>
    <row r="15" spans="1:13" ht="21">
      <c r="A15" s="37">
        <v>13</v>
      </c>
      <c r="B15" s="36">
        <v>43</v>
      </c>
      <c r="C15" s="36">
        <v>11</v>
      </c>
      <c r="D15" s="22">
        <v>2</v>
      </c>
      <c r="E15" s="3"/>
      <c r="F15" s="3"/>
      <c r="G15" s="3"/>
      <c r="H15" s="3"/>
      <c r="I15" s="3"/>
      <c r="J15" s="37">
        <v>13</v>
      </c>
      <c r="K15">
        <f t="shared" si="0"/>
        <v>-0.2540487246643735</v>
      </c>
      <c r="L15">
        <f t="shared" si="1"/>
        <v>0.34243441819100617</v>
      </c>
      <c r="M15" s="22">
        <v>2</v>
      </c>
    </row>
    <row r="16" spans="1:13" ht="21">
      <c r="A16" s="37">
        <v>14</v>
      </c>
      <c r="B16" s="36">
        <v>57</v>
      </c>
      <c r="C16" s="36">
        <v>14</v>
      </c>
      <c r="D16" s="22">
        <v>2</v>
      </c>
      <c r="E16" s="3"/>
      <c r="F16" s="3"/>
      <c r="G16" s="3"/>
      <c r="H16" s="3"/>
      <c r="I16" s="3"/>
      <c r="J16" s="37">
        <v>14</v>
      </c>
      <c r="K16">
        <f t="shared" si="0"/>
        <v>0.97239339440501638</v>
      </c>
      <c r="L16">
        <f t="shared" si="1"/>
        <v>0.98449895229914286</v>
      </c>
      <c r="M16" s="22">
        <v>2</v>
      </c>
    </row>
    <row r="17" spans="1:13" ht="21">
      <c r="A17" s="37">
        <v>15</v>
      </c>
      <c r="B17" s="36">
        <v>49</v>
      </c>
      <c r="C17" s="36">
        <v>17</v>
      </c>
      <c r="D17" s="23">
        <v>3</v>
      </c>
      <c r="E17" s="3"/>
      <c r="F17" s="3"/>
      <c r="G17" s="3"/>
      <c r="H17" s="3"/>
      <c r="I17" s="3"/>
      <c r="J17" s="37">
        <v>15</v>
      </c>
      <c r="K17">
        <f t="shared" si="0"/>
        <v>0.27156932636536502</v>
      </c>
      <c r="L17">
        <f t="shared" si="1"/>
        <v>1.6265634864072795</v>
      </c>
      <c r="M17" s="23">
        <v>3</v>
      </c>
    </row>
    <row r="18" spans="1:13" ht="21">
      <c r="A18" s="37">
        <v>16</v>
      </c>
      <c r="B18" s="36">
        <v>35</v>
      </c>
      <c r="C18" s="36">
        <v>8</v>
      </c>
      <c r="D18" s="23">
        <v>3</v>
      </c>
      <c r="E18" s="3"/>
      <c r="F18" s="3"/>
      <c r="G18" s="3"/>
      <c r="H18" s="3"/>
      <c r="I18" s="3"/>
      <c r="J18" s="37">
        <v>16</v>
      </c>
      <c r="K18">
        <f t="shared" si="0"/>
        <v>-0.95487279270402481</v>
      </c>
      <c r="L18">
        <f t="shared" si="1"/>
        <v>-0.29963011591713057</v>
      </c>
      <c r="M18" s="23">
        <v>3</v>
      </c>
    </row>
    <row r="19" spans="1:13" ht="21">
      <c r="A19" s="37">
        <v>17</v>
      </c>
      <c r="B19" s="36">
        <v>44</v>
      </c>
      <c r="C19" s="36">
        <v>10</v>
      </c>
      <c r="D19" s="23">
        <v>3</v>
      </c>
      <c r="E19" s="3"/>
      <c r="F19" s="3"/>
      <c r="G19" s="3"/>
      <c r="H19" s="3"/>
      <c r="I19" s="3"/>
      <c r="J19" s="37">
        <v>17</v>
      </c>
      <c r="K19">
        <f t="shared" si="0"/>
        <v>-0.16644571615941706</v>
      </c>
      <c r="L19">
        <f t="shared" si="1"/>
        <v>0.12841290682162726</v>
      </c>
      <c r="M19" s="23">
        <v>3</v>
      </c>
    </row>
    <row r="20" spans="1:13" ht="21">
      <c r="A20" s="37">
        <v>18</v>
      </c>
      <c r="B20" s="36">
        <v>28</v>
      </c>
      <c r="C20" s="36">
        <v>10</v>
      </c>
      <c r="D20" s="23">
        <v>3</v>
      </c>
      <c r="E20" s="3"/>
      <c r="F20" s="3"/>
      <c r="G20" s="3"/>
      <c r="H20" s="3"/>
      <c r="I20" s="3"/>
      <c r="J20" s="37">
        <v>18</v>
      </c>
      <c r="K20">
        <f t="shared" si="0"/>
        <v>-1.5680938522387198</v>
      </c>
      <c r="L20">
        <f t="shared" si="1"/>
        <v>0.12841290682162726</v>
      </c>
      <c r="M20" s="23">
        <v>3</v>
      </c>
    </row>
    <row r="21" spans="1:13" ht="21">
      <c r="A21" s="37">
        <v>19</v>
      </c>
      <c r="B21" s="36">
        <v>41</v>
      </c>
      <c r="C21" s="36">
        <v>8</v>
      </c>
      <c r="D21" s="23">
        <v>3</v>
      </c>
      <c r="E21" s="3"/>
      <c r="F21" s="3"/>
      <c r="G21" s="3"/>
      <c r="H21" s="3"/>
      <c r="I21" s="3"/>
      <c r="J21" s="37">
        <v>19</v>
      </c>
      <c r="K21">
        <f t="shared" si="0"/>
        <v>-0.42925474167428629</v>
      </c>
      <c r="L21">
        <f t="shared" si="1"/>
        <v>-0.29963011591713057</v>
      </c>
      <c r="M21" s="23">
        <v>3</v>
      </c>
    </row>
    <row r="22" spans="1:13" ht="21">
      <c r="A22" s="37">
        <v>20</v>
      </c>
      <c r="B22" s="36">
        <v>45</v>
      </c>
      <c r="C22" s="36">
        <v>10</v>
      </c>
      <c r="D22" s="23">
        <v>3</v>
      </c>
      <c r="E22" s="3"/>
      <c r="F22" s="3"/>
      <c r="G22" s="3"/>
      <c r="H22" s="3"/>
      <c r="I22" s="3"/>
      <c r="J22" s="37">
        <v>20</v>
      </c>
      <c r="K22">
        <f t="shared" si="0"/>
        <v>-7.884270765446065E-2</v>
      </c>
      <c r="L22">
        <f t="shared" si="1"/>
        <v>0.12841290682162726</v>
      </c>
      <c r="M22" s="23">
        <v>3</v>
      </c>
    </row>
    <row r="23" spans="1:13" ht="21">
      <c r="A23" s="7" t="s">
        <v>4</v>
      </c>
      <c r="B23" s="7">
        <f>AVERAGE(B3:B22)</f>
        <v>45.9</v>
      </c>
      <c r="C23" s="7">
        <f>AVERAGE(C3:C22)</f>
        <v>9.4</v>
      </c>
      <c r="D23" s="8"/>
      <c r="E23" s="3"/>
      <c r="F23" s="3"/>
      <c r="G23" s="3"/>
      <c r="H23" s="3"/>
      <c r="I23" s="3"/>
    </row>
    <row r="24" spans="1:13" ht="21">
      <c r="A24" s="9" t="s">
        <v>5</v>
      </c>
      <c r="B24" s="9">
        <f>STDEV(B3:B22)</f>
        <v>11.415133076661652</v>
      </c>
      <c r="C24" s="9">
        <f>STDEV(C3:C22)</f>
        <v>4.6724275218957025</v>
      </c>
      <c r="D24" s="3"/>
      <c r="E24" s="3"/>
      <c r="F24" s="3"/>
      <c r="G24" s="3"/>
      <c r="H24" s="3"/>
      <c r="I24" s="3"/>
    </row>
    <row r="25" spans="1:13" ht="21">
      <c r="A25" s="3"/>
      <c r="B25" s="3"/>
      <c r="C25" s="3"/>
      <c r="D25" s="3"/>
      <c r="E25" s="3"/>
      <c r="F25" s="3"/>
      <c r="G25" s="3"/>
      <c r="H25" s="3"/>
      <c r="I25" s="3"/>
    </row>
    <row r="26" spans="1:13" ht="21">
      <c r="A26" s="3"/>
      <c r="B26" s="3"/>
      <c r="C26" s="3"/>
      <c r="D26" s="3"/>
      <c r="E26" s="3"/>
      <c r="F26" s="3"/>
      <c r="G26" s="3"/>
      <c r="H26" s="3"/>
      <c r="I26" s="3"/>
    </row>
    <row r="27" spans="1:13" ht="21">
      <c r="A27" s="3"/>
      <c r="B27" s="3"/>
      <c r="C27" s="3"/>
      <c r="D27" s="3"/>
      <c r="E27" s="3"/>
      <c r="F27" s="3"/>
      <c r="G27" s="3"/>
      <c r="H27" s="3"/>
      <c r="I27" s="3"/>
    </row>
  </sheetData>
  <mergeCells count="1">
    <mergeCell ref="A1:C1"/>
  </mergeCells>
  <phoneticPr fontId="4" type="noConversion"/>
  <pageMargins left="0.7" right="0.7" top="0.75" bottom="0.75" header="0.3" footer="0.3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zoomScale="70" zoomScaleNormal="70" workbookViewId="0">
      <selection activeCell="B2" sqref="B2:C8"/>
    </sheetView>
  </sheetViews>
  <sheetFormatPr defaultRowHeight="16.5"/>
  <cols>
    <col min="1" max="1" width="5.5" bestFit="1" customWidth="1"/>
    <col min="2" max="3" width="19.375" style="1" bestFit="1" customWidth="1"/>
    <col min="4" max="4" width="14.125" style="1" bestFit="1" customWidth="1"/>
    <col min="5" max="8" width="18.375" bestFit="1" customWidth="1"/>
    <col min="9" max="9" width="17.5" bestFit="1" customWidth="1"/>
    <col min="11" max="11" width="14.125" bestFit="1" customWidth="1"/>
    <col min="12" max="12" width="19.375" bestFit="1" customWidth="1"/>
    <col min="13" max="13" width="18.375" bestFit="1" customWidth="1"/>
    <col min="14" max="14" width="19.375" bestFit="1" customWidth="1"/>
  </cols>
  <sheetData>
    <row r="1" spans="1:16" ht="21">
      <c r="A1" s="4" t="s">
        <v>1</v>
      </c>
      <c r="B1" s="4" t="s">
        <v>6</v>
      </c>
      <c r="C1" s="4" t="s">
        <v>7</v>
      </c>
      <c r="D1" s="10" t="s">
        <v>8</v>
      </c>
      <c r="E1" s="3" t="s">
        <v>16</v>
      </c>
      <c r="F1" s="3" t="s">
        <v>17</v>
      </c>
      <c r="G1" s="3" t="s">
        <v>18</v>
      </c>
      <c r="H1" s="3" t="s">
        <v>27</v>
      </c>
      <c r="I1" s="11" t="s">
        <v>19</v>
      </c>
      <c r="J1" s="3"/>
      <c r="K1" s="43" t="s">
        <v>9</v>
      </c>
      <c r="L1" s="43"/>
      <c r="M1" s="43"/>
      <c r="N1" s="43"/>
      <c r="O1" s="3"/>
      <c r="P1" s="3"/>
    </row>
    <row r="2" spans="1:16" ht="21">
      <c r="A2" s="6">
        <v>1</v>
      </c>
      <c r="B2" s="12">
        <v>-0.51685775017924274</v>
      </c>
      <c r="C2" s="12">
        <v>-0.9416946500252672</v>
      </c>
      <c r="D2" s="13">
        <v>1</v>
      </c>
      <c r="E2" s="14">
        <f t="shared" ref="E2:E21" si="0">SUMXMY2($B2:$C2,L$3:L$4)</f>
        <v>0.81123261878663588</v>
      </c>
      <c r="F2" s="14">
        <f t="shared" ref="F2:F21" si="1">SUMXMY2($B2:$C2,M$3:M$4)</f>
        <v>1.7942769590610479</v>
      </c>
      <c r="G2" s="14">
        <f t="shared" ref="G2:G21" si="2">SUMXMY2($B2:$C2,N$3:N$4)</f>
        <v>1.3864602202637724</v>
      </c>
      <c r="H2" s="3">
        <f>MIN(E2:G2)</f>
        <v>0.81123261878663588</v>
      </c>
      <c r="I2" s="15">
        <f>IF(H2=E2,1,IF(H2=F2,2,3))</f>
        <v>1</v>
      </c>
      <c r="J2" s="3"/>
      <c r="K2" s="16"/>
      <c r="L2" s="17" t="s">
        <v>12</v>
      </c>
      <c r="M2" s="18" t="s">
        <v>13</v>
      </c>
      <c r="N2" s="17" t="s">
        <v>14</v>
      </c>
      <c r="O2" s="3"/>
      <c r="P2" s="3"/>
    </row>
    <row r="3" spans="1:16" ht="21">
      <c r="A3" s="6">
        <v>2</v>
      </c>
      <c r="B3" s="12">
        <v>-0.16644571615941706</v>
      </c>
      <c r="C3" s="12">
        <v>0.98449895229914286</v>
      </c>
      <c r="D3" s="13">
        <v>1</v>
      </c>
      <c r="E3" s="14">
        <f t="shared" si="0"/>
        <v>1.923947687426105</v>
      </c>
      <c r="F3" s="14">
        <f t="shared" si="1"/>
        <v>0.85202642436041809</v>
      </c>
      <c r="G3" s="14">
        <f t="shared" si="2"/>
        <v>0.66429031633303481</v>
      </c>
      <c r="H3" s="3">
        <f t="shared" ref="H3:H21" si="3">MIN(E3:G3)</f>
        <v>0.66429031633303481</v>
      </c>
      <c r="I3" s="19">
        <f t="shared" ref="I3:I21" si="4">IF(H3=E3,1,IF(H3=F3,2,3))</f>
        <v>3</v>
      </c>
      <c r="J3" s="3"/>
      <c r="K3" s="16" t="s">
        <v>10</v>
      </c>
      <c r="L3" s="17">
        <f>AVERAGE('2.第1次聚類'!B2:B8)</f>
        <v>0.17145160235970053</v>
      </c>
      <c r="M3" s="18">
        <f>AVERAGE('2.第1次聚類'!B9:B15)</f>
        <v>0.24653989536394891</v>
      </c>
      <c r="N3" s="17">
        <f>AVERAGE(B16:B21)</f>
        <v>-0.48765674734425724</v>
      </c>
      <c r="O3" s="3"/>
      <c r="P3" s="3"/>
    </row>
    <row r="4" spans="1:16" ht="21">
      <c r="A4" s="6">
        <v>3</v>
      </c>
      <c r="B4" s="12">
        <v>2.198835513474406</v>
      </c>
      <c r="C4" s="12">
        <v>-1.583759184133404</v>
      </c>
      <c r="D4" s="13">
        <v>1</v>
      </c>
      <c r="E4" s="14">
        <f t="shared" si="0"/>
        <v>5.6059657623555985</v>
      </c>
      <c r="F4" s="14">
        <f t="shared" si="1"/>
        <v>6.8486238664398025</v>
      </c>
      <c r="G4" s="14">
        <f t="shared" si="2"/>
        <v>10.526666896946768</v>
      </c>
      <c r="H4" s="3">
        <f t="shared" si="3"/>
        <v>5.6059657623555985</v>
      </c>
      <c r="I4" s="15">
        <f t="shared" si="4"/>
        <v>1</v>
      </c>
      <c r="J4" s="3"/>
      <c r="K4" s="16" t="s">
        <v>11</v>
      </c>
      <c r="L4" s="17">
        <f>AVERAGE('2.第1次聚類'!C2:C8)</f>
        <v>-0.36077911916552452</v>
      </c>
      <c r="M4" s="3">
        <f>AVERAGE(C9:C15)</f>
        <v>0.15898740844582424</v>
      </c>
      <c r="N4" s="17">
        <f>AVERAGE(C16:C21)</f>
        <v>0.23542366250631672</v>
      </c>
      <c r="O4" s="3"/>
      <c r="P4" s="3"/>
    </row>
    <row r="5" spans="1:16" ht="21">
      <c r="A5" s="6">
        <v>4</v>
      </c>
      <c r="B5" s="12">
        <v>8.7603008504957662E-3</v>
      </c>
      <c r="C5" s="12">
        <v>-0.72767313865588834</v>
      </c>
      <c r="D5" s="13">
        <v>1</v>
      </c>
      <c r="E5" s="14">
        <f t="shared" si="0"/>
        <v>0.16107968112455445</v>
      </c>
      <c r="F5" s="14">
        <f t="shared" si="1"/>
        <v>0.84270606135369053</v>
      </c>
      <c r="G5" s="14">
        <f t="shared" si="2"/>
        <v>1.1739853341472637</v>
      </c>
      <c r="H5" s="3">
        <f t="shared" si="3"/>
        <v>0.16107968112455445</v>
      </c>
      <c r="I5" s="15">
        <f t="shared" si="4"/>
        <v>1</v>
      </c>
      <c r="J5" s="3"/>
      <c r="K5" s="16" t="s">
        <v>15</v>
      </c>
      <c r="L5" s="20">
        <f>COUNTIF($D$2:$D$21,1)/100</f>
        <v>7.0000000000000007E-2</v>
      </c>
      <c r="M5" s="20">
        <f>COUNTIF($D$2:$D$21,2)/100</f>
        <v>7.0000000000000007E-2</v>
      </c>
      <c r="N5" s="20">
        <f>COUNTIF($D$2:$D$21,3)/100</f>
        <v>0.06</v>
      </c>
      <c r="O5" s="3"/>
      <c r="P5" s="3"/>
    </row>
    <row r="6" spans="1:16" ht="21">
      <c r="A6" s="6">
        <v>5</v>
      </c>
      <c r="B6" s="12">
        <v>1.4980114454347548</v>
      </c>
      <c r="C6" s="12">
        <v>-1.3697376727640251</v>
      </c>
      <c r="D6" s="13">
        <v>1</v>
      </c>
      <c r="E6" s="14">
        <f t="shared" si="0"/>
        <v>2.777758380138891</v>
      </c>
      <c r="F6" s="14">
        <f t="shared" si="1"/>
        <v>3.9031814145566863</v>
      </c>
      <c r="G6" s="14">
        <f t="shared" si="2"/>
        <v>6.5194210840611344</v>
      </c>
      <c r="H6" s="3">
        <f t="shared" si="3"/>
        <v>2.777758380138891</v>
      </c>
      <c r="I6" s="15">
        <f t="shared" si="4"/>
        <v>1</v>
      </c>
      <c r="J6" s="3"/>
      <c r="K6" s="3"/>
      <c r="L6" s="3"/>
      <c r="M6" s="3"/>
      <c r="N6" s="3"/>
      <c r="O6" s="3"/>
      <c r="P6" s="3"/>
    </row>
    <row r="7" spans="1:16" ht="21">
      <c r="A7" s="6">
        <v>6</v>
      </c>
      <c r="B7" s="12">
        <v>0.27156932636536502</v>
      </c>
      <c r="C7" s="12">
        <v>0.34243441819100617</v>
      </c>
      <c r="D7" s="13">
        <v>1</v>
      </c>
      <c r="E7" s="14">
        <f t="shared" si="0"/>
        <v>0.50453283778155922</v>
      </c>
      <c r="F7" s="14">
        <f t="shared" si="1"/>
        <v>3.4279277800703528E-2</v>
      </c>
      <c r="G7" s="14">
        <f t="shared" si="2"/>
        <v>0.58787553283273708</v>
      </c>
      <c r="H7" s="3">
        <f t="shared" si="3"/>
        <v>3.4279277800703528E-2</v>
      </c>
      <c r="I7" s="21">
        <f t="shared" si="4"/>
        <v>2</v>
      </c>
      <c r="J7" s="3"/>
      <c r="K7" s="3"/>
      <c r="L7" s="3"/>
      <c r="M7" s="3"/>
      <c r="N7" s="3"/>
      <c r="O7" s="3"/>
      <c r="P7" s="3"/>
    </row>
    <row r="8" spans="1:16" ht="21">
      <c r="A8" s="6">
        <v>7</v>
      </c>
      <c r="B8" s="12">
        <v>-2.0937119032684581</v>
      </c>
      <c r="C8" s="12">
        <v>0.770477440929764</v>
      </c>
      <c r="D8" s="13">
        <v>1</v>
      </c>
      <c r="E8" s="14">
        <f t="shared" si="0"/>
        <v>6.410707111988275</v>
      </c>
      <c r="F8" s="14">
        <f t="shared" si="1"/>
        <v>5.850698540829427</v>
      </c>
      <c r="G8" s="14">
        <f t="shared" si="2"/>
        <v>2.8656957096759168</v>
      </c>
      <c r="H8" s="3">
        <f t="shared" si="3"/>
        <v>2.8656957096759168</v>
      </c>
      <c r="I8" s="19">
        <f t="shared" si="4"/>
        <v>3</v>
      </c>
      <c r="J8" s="3"/>
      <c r="K8" s="3"/>
      <c r="L8" s="3"/>
      <c r="M8" s="3"/>
      <c r="N8" s="3"/>
      <c r="O8" s="3"/>
      <c r="P8" s="3"/>
    </row>
    <row r="9" spans="1:16" ht="21">
      <c r="A9" s="6">
        <v>8</v>
      </c>
      <c r="B9" s="12">
        <v>1.1475994114149293</v>
      </c>
      <c r="C9" s="12">
        <v>-2.0118022068721619</v>
      </c>
      <c r="D9" s="22">
        <v>2</v>
      </c>
      <c r="E9" s="14">
        <f t="shared" si="0"/>
        <v>3.6787417812636822</v>
      </c>
      <c r="F9" s="14">
        <f t="shared" si="1"/>
        <v>5.524235805438436</v>
      </c>
      <c r="G9" s="14">
        <f t="shared" si="2"/>
        <v>7.7240868127637095</v>
      </c>
      <c r="H9" s="3">
        <f t="shared" si="3"/>
        <v>3.6787417812636822</v>
      </c>
      <c r="I9" s="15">
        <f t="shared" si="4"/>
        <v>1</v>
      </c>
      <c r="J9" s="3"/>
      <c r="K9" s="3"/>
      <c r="L9" s="3"/>
      <c r="M9" s="3"/>
      <c r="N9" s="3"/>
      <c r="O9" s="3"/>
      <c r="P9" s="3"/>
    </row>
    <row r="10" spans="1:16" ht="21">
      <c r="A10" s="6">
        <v>9</v>
      </c>
      <c r="B10" s="12">
        <v>-0.69206376718915552</v>
      </c>
      <c r="C10" s="12">
        <v>0.12841290682162726</v>
      </c>
      <c r="D10" s="22">
        <v>2</v>
      </c>
      <c r="E10" s="14">
        <f t="shared" si="0"/>
        <v>0.98496763173651147</v>
      </c>
      <c r="F10" s="14">
        <f t="shared" si="1"/>
        <v>0.88191163550767004</v>
      </c>
      <c r="G10" s="14">
        <f t="shared" si="2"/>
        <v>5.3233531594080938E-2</v>
      </c>
      <c r="H10" s="3">
        <f t="shared" si="3"/>
        <v>5.3233531594080938E-2</v>
      </c>
      <c r="I10" s="19">
        <f t="shared" si="4"/>
        <v>3</v>
      </c>
      <c r="J10" s="3"/>
      <c r="K10" s="3"/>
      <c r="L10" s="3"/>
      <c r="M10" s="3"/>
      <c r="N10" s="3"/>
      <c r="O10" s="3"/>
      <c r="P10" s="3"/>
    </row>
    <row r="11" spans="1:16" ht="21">
      <c r="A11" s="6">
        <v>10</v>
      </c>
      <c r="B11" s="12">
        <v>8.7603008504957662E-3</v>
      </c>
      <c r="C11" s="12">
        <v>0.12841290682162726</v>
      </c>
      <c r="D11" s="22">
        <v>2</v>
      </c>
      <c r="E11" s="14">
        <f t="shared" si="0"/>
        <v>0.26577729787617316</v>
      </c>
      <c r="F11" s="14">
        <f t="shared" si="1"/>
        <v>5.7473935716550226E-2</v>
      </c>
      <c r="G11" s="14">
        <f t="shared" si="2"/>
        <v>0.25788118757060002</v>
      </c>
      <c r="H11" s="3">
        <f t="shared" si="3"/>
        <v>5.7473935716550226E-2</v>
      </c>
      <c r="I11" s="21">
        <f t="shared" si="4"/>
        <v>2</v>
      </c>
      <c r="J11" s="3"/>
      <c r="K11" s="3"/>
      <c r="L11" s="3"/>
      <c r="M11" s="3"/>
      <c r="N11" s="3"/>
      <c r="O11" s="3"/>
      <c r="P11" s="3"/>
    </row>
    <row r="12" spans="1:16" ht="21">
      <c r="A12" s="6">
        <v>11</v>
      </c>
      <c r="B12" s="12">
        <v>0.79718737739510348</v>
      </c>
      <c r="C12" s="12">
        <v>1.8405849977766584</v>
      </c>
      <c r="D12" s="22">
        <v>2</v>
      </c>
      <c r="E12" s="14">
        <f t="shared" si="0"/>
        <v>5.2375492355197935</v>
      </c>
      <c r="F12" s="14">
        <f t="shared" si="1"/>
        <v>3.1309831019105232</v>
      </c>
      <c r="G12" s="14">
        <f t="shared" si="2"/>
        <v>4.2273673371241198</v>
      </c>
      <c r="H12" s="3">
        <f t="shared" si="3"/>
        <v>3.1309831019105232</v>
      </c>
      <c r="I12" s="21">
        <f t="shared" si="4"/>
        <v>2</v>
      </c>
      <c r="J12" s="3"/>
      <c r="K12" s="3"/>
      <c r="L12" s="3"/>
      <c r="M12" s="3"/>
      <c r="N12" s="3"/>
      <c r="O12" s="3"/>
      <c r="P12" s="3"/>
    </row>
    <row r="13" spans="1:16" ht="21">
      <c r="A13" s="6">
        <v>12</v>
      </c>
      <c r="B13" s="12">
        <v>-0.2540487246643735</v>
      </c>
      <c r="C13" s="12">
        <v>-0.29963011591713057</v>
      </c>
      <c r="D13" s="22">
        <v>2</v>
      </c>
      <c r="E13" s="14">
        <f t="shared" si="0"/>
        <v>0.18478972889586603</v>
      </c>
      <c r="F13" s="14">
        <f t="shared" si="1"/>
        <v>0.46091900015466558</v>
      </c>
      <c r="G13" s="14">
        <f t="shared" si="2"/>
        <v>0.34085525406561246</v>
      </c>
      <c r="H13" s="3">
        <f t="shared" si="3"/>
        <v>0.18478972889586603</v>
      </c>
      <c r="I13" s="15">
        <f t="shared" si="4"/>
        <v>1</v>
      </c>
      <c r="J13" s="3"/>
      <c r="K13" s="3"/>
      <c r="L13" s="3"/>
      <c r="M13" s="3"/>
      <c r="N13" s="3"/>
      <c r="O13" s="3"/>
      <c r="P13" s="3"/>
    </row>
    <row r="14" spans="1:16" ht="21">
      <c r="A14" s="6">
        <v>13</v>
      </c>
      <c r="B14" s="12">
        <v>-0.2540487246643735</v>
      </c>
      <c r="C14" s="12">
        <v>0.34243441819100617</v>
      </c>
      <c r="D14" s="22">
        <v>2</v>
      </c>
      <c r="E14" s="14">
        <f t="shared" si="0"/>
        <v>0.67555980741907873</v>
      </c>
      <c r="F14" s="14">
        <f t="shared" si="1"/>
        <v>0.284241771886309</v>
      </c>
      <c r="G14" s="14">
        <f t="shared" si="2"/>
        <v>6.6024010092613369E-2</v>
      </c>
      <c r="H14" s="3">
        <f t="shared" si="3"/>
        <v>6.6024010092613369E-2</v>
      </c>
      <c r="I14" s="19">
        <f t="shared" si="4"/>
        <v>3</v>
      </c>
      <c r="J14" s="3"/>
      <c r="K14" s="3"/>
      <c r="L14" s="3"/>
      <c r="M14" s="3"/>
      <c r="N14" s="3"/>
      <c r="O14" s="3"/>
      <c r="P14" s="3"/>
    </row>
    <row r="15" spans="1:16" ht="21">
      <c r="A15" s="6">
        <v>14</v>
      </c>
      <c r="B15" s="12">
        <v>0.97239339440501638</v>
      </c>
      <c r="C15" s="12">
        <v>0.98449895229914286</v>
      </c>
      <c r="D15" s="22">
        <v>2</v>
      </c>
      <c r="E15" s="14">
        <f t="shared" si="0"/>
        <v>2.451280843808457</v>
      </c>
      <c r="F15" s="14">
        <f t="shared" si="1"/>
        <v>1.2083326111052504</v>
      </c>
      <c r="G15" s="14">
        <f t="shared" si="2"/>
        <v>2.6928602062002804</v>
      </c>
      <c r="H15" s="3">
        <f t="shared" si="3"/>
        <v>1.2083326111052504</v>
      </c>
      <c r="I15" s="21">
        <f t="shared" si="4"/>
        <v>2</v>
      </c>
      <c r="J15" s="3"/>
      <c r="K15" s="3"/>
      <c r="L15" s="3"/>
      <c r="M15" s="3"/>
      <c r="N15" s="3"/>
      <c r="O15" s="3"/>
      <c r="P15" s="3"/>
    </row>
    <row r="16" spans="1:16" ht="21">
      <c r="A16" s="6">
        <v>15</v>
      </c>
      <c r="B16" s="12">
        <v>0.27156932636536502</v>
      </c>
      <c r="C16" s="12">
        <v>1.6265634864072795</v>
      </c>
      <c r="D16" s="23">
        <v>3</v>
      </c>
      <c r="E16" s="14">
        <f t="shared" si="0"/>
        <v>3.9595541905849765</v>
      </c>
      <c r="F16" s="14">
        <f t="shared" si="1"/>
        <v>2.1544060170209822</v>
      </c>
      <c r="G16" s="14">
        <f t="shared" si="2"/>
        <v>2.511694240643731</v>
      </c>
      <c r="H16" s="3">
        <f t="shared" si="3"/>
        <v>2.1544060170209822</v>
      </c>
      <c r="I16" s="21">
        <f t="shared" si="4"/>
        <v>2</v>
      </c>
      <c r="J16" s="3"/>
      <c r="K16" s="3"/>
      <c r="L16" s="3"/>
      <c r="M16" s="3"/>
      <c r="N16" s="3"/>
      <c r="O16" s="3"/>
      <c r="P16" s="3"/>
    </row>
    <row r="17" spans="1:16" ht="21">
      <c r="A17" s="6">
        <v>16</v>
      </c>
      <c r="B17" s="12">
        <v>-0.95487279270402481</v>
      </c>
      <c r="C17" s="12">
        <v>-0.29963011591713057</v>
      </c>
      <c r="D17" s="23">
        <v>3</v>
      </c>
      <c r="E17" s="14">
        <f t="shared" si="0"/>
        <v>1.2723458435139392</v>
      </c>
      <c r="F17" s="14">
        <f t="shared" si="1"/>
        <v>1.6537224807035193</v>
      </c>
      <c r="G17" s="14">
        <f t="shared" si="2"/>
        <v>0.50457337884682785</v>
      </c>
      <c r="H17" s="3">
        <f t="shared" si="3"/>
        <v>0.50457337884682785</v>
      </c>
      <c r="I17" s="19">
        <f t="shared" si="4"/>
        <v>3</v>
      </c>
      <c r="J17" s="3"/>
      <c r="K17" s="3"/>
      <c r="L17" s="3"/>
      <c r="M17" s="3"/>
      <c r="N17" s="3"/>
      <c r="O17" s="3"/>
      <c r="P17" s="3"/>
    </row>
    <row r="18" spans="1:16" ht="21">
      <c r="A18" s="6">
        <v>17</v>
      </c>
      <c r="B18" s="12">
        <v>-0.16644571615941706</v>
      </c>
      <c r="C18" s="12">
        <v>0.12841290682162726</v>
      </c>
      <c r="D18" s="23">
        <v>3</v>
      </c>
      <c r="E18" s="14">
        <f t="shared" si="0"/>
        <v>0.3534834361518242</v>
      </c>
      <c r="F18" s="14">
        <f t="shared" si="1"/>
        <v>0.17149191547489659</v>
      </c>
      <c r="G18" s="14">
        <f t="shared" si="2"/>
        <v>0.11462782838703667</v>
      </c>
      <c r="H18" s="3">
        <f t="shared" si="3"/>
        <v>0.11462782838703667</v>
      </c>
      <c r="I18" s="19">
        <f t="shared" si="4"/>
        <v>3</v>
      </c>
      <c r="J18" s="3"/>
      <c r="K18" s="3"/>
      <c r="L18" s="3"/>
      <c r="M18" s="3"/>
      <c r="N18" s="3"/>
      <c r="O18" s="3"/>
      <c r="P18" s="3"/>
    </row>
    <row r="19" spans="1:16" ht="21">
      <c r="A19" s="6">
        <v>18</v>
      </c>
      <c r="B19" s="12">
        <v>-1.5680938522387198</v>
      </c>
      <c r="C19" s="12">
        <v>0.12841290682162726</v>
      </c>
      <c r="D19" s="23">
        <v>3</v>
      </c>
      <c r="E19" s="14">
        <f t="shared" si="0"/>
        <v>3.2653272269034392</v>
      </c>
      <c r="F19" s="14">
        <f t="shared" si="1"/>
        <v>3.2938304380880736</v>
      </c>
      <c r="G19" s="14">
        <f t="shared" si="2"/>
        <v>1.1787956394649362</v>
      </c>
      <c r="H19" s="3">
        <f t="shared" si="3"/>
        <v>1.1787956394649362</v>
      </c>
      <c r="I19" s="19">
        <f t="shared" si="4"/>
        <v>3</v>
      </c>
      <c r="J19" s="3"/>
      <c r="K19" s="3"/>
      <c r="L19" s="3"/>
      <c r="M19" s="3"/>
      <c r="N19" s="3"/>
      <c r="O19" s="3"/>
      <c r="P19" s="3"/>
    </row>
    <row r="20" spans="1:16" ht="21">
      <c r="A20" s="6">
        <v>19</v>
      </c>
      <c r="B20" s="12">
        <v>-0.42925474167428629</v>
      </c>
      <c r="C20" s="12">
        <v>-0.29963011591713057</v>
      </c>
      <c r="D20" s="23">
        <v>3</v>
      </c>
      <c r="E20" s="14">
        <f t="shared" si="0"/>
        <v>0.3645873123609506</v>
      </c>
      <c r="F20" s="14">
        <f t="shared" si="1"/>
        <v>0.66702842510244542</v>
      </c>
      <c r="G20" s="14">
        <f t="shared" si="2"/>
        <v>0.28969334007148273</v>
      </c>
      <c r="H20" s="3">
        <f t="shared" si="3"/>
        <v>0.28969334007148273</v>
      </c>
      <c r="I20" s="19">
        <f t="shared" si="4"/>
        <v>3</v>
      </c>
      <c r="J20" s="3"/>
      <c r="K20" s="3"/>
      <c r="L20" s="3"/>
      <c r="M20" s="3"/>
      <c r="N20" s="3"/>
      <c r="O20" s="3"/>
      <c r="P20" s="3"/>
    </row>
    <row r="21" spans="1:16" ht="21">
      <c r="A21" s="6">
        <v>20</v>
      </c>
      <c r="B21" s="12">
        <v>-7.884270765446065E-2</v>
      </c>
      <c r="C21" s="12">
        <v>0.12841290682162726</v>
      </c>
      <c r="D21" s="23">
        <v>3</v>
      </c>
      <c r="E21" s="14">
        <f t="shared" si="0"/>
        <v>0.30195607991487922</v>
      </c>
      <c r="F21" s="14">
        <f t="shared" si="1"/>
        <v>0.10680863849660392</v>
      </c>
      <c r="G21" s="14">
        <f t="shared" si="2"/>
        <v>0.17858022087969885</v>
      </c>
      <c r="H21" s="3">
        <f t="shared" si="3"/>
        <v>0.10680863849660392</v>
      </c>
      <c r="I21" s="21">
        <f t="shared" si="4"/>
        <v>2</v>
      </c>
      <c r="J21" s="3"/>
      <c r="K21" s="3"/>
      <c r="L21" s="3"/>
      <c r="M21" s="3"/>
      <c r="N21" s="3"/>
      <c r="O21" s="3"/>
      <c r="P21" s="3"/>
    </row>
    <row r="22" spans="1:16" ht="21">
      <c r="A22" s="3"/>
      <c r="B22" s="24"/>
      <c r="C22" s="24"/>
      <c r="D22" s="24"/>
      <c r="E22" s="14"/>
      <c r="F22" s="14"/>
      <c r="G22" s="14"/>
      <c r="H22" s="3"/>
      <c r="I22" s="3"/>
      <c r="J22" s="3"/>
      <c r="K22" s="3"/>
      <c r="L22" s="3"/>
      <c r="M22" s="3"/>
      <c r="N22" s="3"/>
      <c r="O22" s="3"/>
      <c r="P22" s="3"/>
    </row>
    <row r="23" spans="1:16" ht="21">
      <c r="A23" s="3"/>
      <c r="B23" s="24"/>
      <c r="C23" s="24"/>
      <c r="D23" s="2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21">
      <c r="A24" s="3"/>
      <c r="B24" s="24"/>
      <c r="C24" s="24"/>
      <c r="D24" s="2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</sheetData>
  <sortState ref="K25:N43">
    <sortCondition ref="L24"/>
  </sortState>
  <mergeCells count="1">
    <mergeCell ref="K1:N1"/>
  </mergeCells>
  <phoneticPr fontId="4" type="noConversion"/>
  <pageMargins left="0.7" right="0.7" top="0.75" bottom="0.75" header="0.3" footer="0.3"/>
  <pageSetup paperSize="9"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70" zoomScaleNormal="70" workbookViewId="0">
      <selection activeCell="N7" sqref="N7"/>
    </sheetView>
  </sheetViews>
  <sheetFormatPr defaultRowHeight="16.5"/>
  <cols>
    <col min="1" max="1" width="6" bestFit="1" customWidth="1"/>
    <col min="2" max="3" width="19.875" bestFit="1" customWidth="1"/>
    <col min="4" max="4" width="17.875" bestFit="1" customWidth="1"/>
    <col min="5" max="8" width="18.625" bestFit="1" customWidth="1"/>
    <col min="9" max="9" width="17.875" bestFit="1" customWidth="1"/>
    <col min="11" max="11" width="14.5" bestFit="1" customWidth="1"/>
    <col min="12" max="12" width="19.875" bestFit="1" customWidth="1"/>
    <col min="13" max="13" width="18.625" bestFit="1" customWidth="1"/>
    <col min="14" max="14" width="19.875" bestFit="1" customWidth="1"/>
    <col min="15" max="15" width="9.5" customWidth="1"/>
    <col min="16" max="17" width="19.875" bestFit="1" customWidth="1"/>
    <col min="18" max="18" width="26.875" bestFit="1" customWidth="1"/>
  </cols>
  <sheetData>
    <row r="1" spans="1:19" ht="21">
      <c r="A1" s="4" t="s">
        <v>1</v>
      </c>
      <c r="B1" s="4" t="s">
        <v>6</v>
      </c>
      <c r="C1" s="4" t="s">
        <v>7</v>
      </c>
      <c r="D1" s="11" t="s">
        <v>29</v>
      </c>
      <c r="E1" s="3" t="s">
        <v>16</v>
      </c>
      <c r="F1" s="3" t="s">
        <v>20</v>
      </c>
      <c r="G1" s="3" t="s">
        <v>21</v>
      </c>
      <c r="H1" s="3" t="s">
        <v>28</v>
      </c>
      <c r="I1" s="11" t="s">
        <v>22</v>
      </c>
      <c r="J1" s="3"/>
      <c r="K1" s="44" t="s">
        <v>9</v>
      </c>
      <c r="L1" s="45"/>
      <c r="M1" s="45"/>
      <c r="N1" s="46"/>
      <c r="O1" s="3"/>
      <c r="P1" s="4" t="s">
        <v>6</v>
      </c>
      <c r="Q1" s="4" t="s">
        <v>7</v>
      </c>
      <c r="R1" s="11" t="s">
        <v>31</v>
      </c>
      <c r="S1" s="3"/>
    </row>
    <row r="2" spans="1:19" ht="21">
      <c r="A2" s="6">
        <v>1</v>
      </c>
      <c r="B2" s="12">
        <v>-0.51685775017924274</v>
      </c>
      <c r="C2" s="12">
        <v>-0.9416946500252672</v>
      </c>
      <c r="D2" s="15">
        <v>1</v>
      </c>
      <c r="E2" s="14">
        <f>SUMXMY2($B2:$C2,L$3:L$4)</f>
        <v>1.4791914977310354</v>
      </c>
      <c r="F2" s="14">
        <f>SUMXMY2($B2:$C2,M$3:M$4)</f>
        <v>3.9741400171640686</v>
      </c>
      <c r="G2" s="14">
        <f>SUMXMY2($B2:$C2,N$3:N$4)</f>
        <v>1.460551731649542</v>
      </c>
      <c r="H2" s="14">
        <f>MIN(E2:G2)</f>
        <v>1.460551731649542</v>
      </c>
      <c r="I2" s="19">
        <f>IF(H2=E2,1,IF(H2=F2,2,3))</f>
        <v>3</v>
      </c>
      <c r="J2" s="3"/>
      <c r="K2" s="16"/>
      <c r="L2" s="17" t="s">
        <v>12</v>
      </c>
      <c r="M2" s="18" t="s">
        <v>13</v>
      </c>
      <c r="N2" s="17" t="s">
        <v>14</v>
      </c>
      <c r="O2" s="3"/>
      <c r="P2" s="12">
        <v>-0.51685775017924274</v>
      </c>
      <c r="Q2" s="12">
        <v>-0.9416946500252672</v>
      </c>
      <c r="R2" s="15">
        <v>1</v>
      </c>
      <c r="S2" s="3"/>
    </row>
    <row r="3" spans="1:19" ht="21">
      <c r="A3" s="6">
        <v>2</v>
      </c>
      <c r="B3" s="12">
        <v>-0.16644571615941706</v>
      </c>
      <c r="C3" s="12">
        <v>0.98449895229914286</v>
      </c>
      <c r="D3" s="19">
        <v>3</v>
      </c>
      <c r="E3" s="14">
        <f t="shared" ref="E3:E21" si="0">SUMXMY2($B3:$C3,L$3:L$4)</f>
        <v>5.2976402273677037</v>
      </c>
      <c r="F3" s="14">
        <f t="shared" ref="F3:F21" si="1">SUMXMY2($B3:$C3,M$3:M$4)</f>
        <v>0.31219395433210767</v>
      </c>
      <c r="G3" s="14">
        <f t="shared" ref="G3:G21" si="2">SUMXMY2($B3:$C3,N$3:N$4)</f>
        <v>0.95070377079444324</v>
      </c>
      <c r="H3" s="14">
        <f t="shared" ref="H3:H21" si="3">MIN(E3:G3)</f>
        <v>0.31219395433210767</v>
      </c>
      <c r="I3" s="21">
        <f t="shared" ref="I3:I21" si="4">IF(H3=E3,1,IF(H3=F3,2,3))</f>
        <v>2</v>
      </c>
      <c r="J3" s="3"/>
      <c r="K3" s="16" t="s">
        <v>10</v>
      </c>
      <c r="L3" s="17">
        <f>AVERAGE(P2:P7)</f>
        <v>0.68038336605516159</v>
      </c>
      <c r="M3" s="18">
        <f>AVERAGE(P8:P13)</f>
        <v>0.37377283628781416</v>
      </c>
      <c r="N3" s="17">
        <f>AVERAGE(P14:P21)</f>
        <v>-0.79061715175723157</v>
      </c>
      <c r="O3" s="3"/>
      <c r="P3" s="12">
        <v>2.198835513474406</v>
      </c>
      <c r="Q3" s="12">
        <v>-1.583759184133404</v>
      </c>
      <c r="R3" s="15">
        <v>1</v>
      </c>
      <c r="S3" s="3"/>
    </row>
    <row r="4" spans="1:19" ht="21">
      <c r="A4" s="6">
        <v>3</v>
      </c>
      <c r="B4" s="12">
        <v>2.198835513474406</v>
      </c>
      <c r="C4" s="12">
        <v>-1.583759184133404</v>
      </c>
      <c r="D4" s="15">
        <v>1</v>
      </c>
      <c r="E4" s="14">
        <f t="shared" si="0"/>
        <v>2.4889177533174474</v>
      </c>
      <c r="F4" s="14">
        <f t="shared" si="1"/>
        <v>9.2142781836740628</v>
      </c>
      <c r="G4" s="14">
        <f t="shared" si="2"/>
        <v>12.24625346716874</v>
      </c>
      <c r="H4" s="14">
        <f t="shared" si="3"/>
        <v>2.4889177533174474</v>
      </c>
      <c r="I4" s="15">
        <f t="shared" si="4"/>
        <v>1</v>
      </c>
      <c r="J4" s="3"/>
      <c r="K4" s="16" t="s">
        <v>11</v>
      </c>
      <c r="L4" s="17">
        <f>AVERAGE(Q2:Q7)</f>
        <v>-1.1557161613946461</v>
      </c>
      <c r="M4" s="3">
        <f>AVERAGE(Q8:Q13)</f>
        <v>0.84181794471955695</v>
      </c>
      <c r="N4" s="17">
        <f>AVERAGE(Q14:Q21)</f>
        <v>0.23542366250631663</v>
      </c>
      <c r="O4" s="3"/>
      <c r="P4" s="12">
        <v>8.7603008504957662E-3</v>
      </c>
      <c r="Q4" s="12">
        <v>-0.72767313865588834</v>
      </c>
      <c r="R4" s="15">
        <v>1</v>
      </c>
      <c r="S4" s="3"/>
    </row>
    <row r="5" spans="1:19" ht="21">
      <c r="A5" s="6">
        <v>4</v>
      </c>
      <c r="B5" s="12">
        <v>8.7603008504957662E-3</v>
      </c>
      <c r="C5" s="12">
        <v>-0.72767313865588834</v>
      </c>
      <c r="D5" s="15">
        <v>1</v>
      </c>
      <c r="E5" s="14">
        <f t="shared" si="0"/>
        <v>0.63429837103024345</v>
      </c>
      <c r="F5" s="14">
        <f t="shared" si="1"/>
        <v>2.5965364118214089</v>
      </c>
      <c r="G5" s="14">
        <f t="shared" si="2"/>
        <v>1.5665597601464911</v>
      </c>
      <c r="H5" s="14">
        <f t="shared" si="3"/>
        <v>0.63429837103024345</v>
      </c>
      <c r="I5" s="15">
        <f t="shared" si="4"/>
        <v>1</v>
      </c>
      <c r="J5" s="3"/>
      <c r="K5" s="16" t="s">
        <v>15</v>
      </c>
      <c r="L5" s="20">
        <f>COUNTIF($D$2:$D$21,1)/100</f>
        <v>0.06</v>
      </c>
      <c r="M5" s="20">
        <f>COUNTIF($D$2:$D$21,2)/100</f>
        <v>0.06</v>
      </c>
      <c r="N5" s="20">
        <f>COUNTIF($D$2:$D$21,3)/100</f>
        <v>0.08</v>
      </c>
      <c r="O5" s="3"/>
      <c r="P5" s="12">
        <v>1.4980114454347548</v>
      </c>
      <c r="Q5" s="12">
        <v>-1.3697376727640251</v>
      </c>
      <c r="R5" s="15">
        <v>1</v>
      </c>
      <c r="S5" s="3"/>
    </row>
    <row r="6" spans="1:19" ht="21">
      <c r="A6" s="6">
        <v>5</v>
      </c>
      <c r="B6" s="12">
        <v>1.4980114454347548</v>
      </c>
      <c r="C6" s="12">
        <v>-1.3697376727640251</v>
      </c>
      <c r="D6" s="15">
        <v>1</v>
      </c>
      <c r="E6" s="14">
        <f t="shared" si="0"/>
        <v>0.71432088351879575</v>
      </c>
      <c r="F6" s="14">
        <f t="shared" si="1"/>
        <v>6.1548906995198358</v>
      </c>
      <c r="G6" s="14">
        <f t="shared" si="2"/>
        <v>7.8143637681318268</v>
      </c>
      <c r="H6" s="14">
        <f t="shared" si="3"/>
        <v>0.71432088351879575</v>
      </c>
      <c r="I6" s="15">
        <f t="shared" si="4"/>
        <v>1</v>
      </c>
      <c r="J6" s="3"/>
      <c r="K6" s="3"/>
      <c r="L6" s="3"/>
      <c r="M6" s="3"/>
      <c r="N6" s="3"/>
      <c r="O6" s="3"/>
      <c r="P6" s="12">
        <v>1.1475994114149293</v>
      </c>
      <c r="Q6" s="12">
        <v>-2.0118022068721619</v>
      </c>
      <c r="R6" s="15">
        <v>1</v>
      </c>
      <c r="S6" s="3"/>
    </row>
    <row r="7" spans="1:19" ht="21">
      <c r="A7" s="6">
        <v>6</v>
      </c>
      <c r="B7" s="12">
        <v>0.27156932636536502</v>
      </c>
      <c r="C7" s="12">
        <v>0.34243441819100617</v>
      </c>
      <c r="D7" s="21">
        <v>2</v>
      </c>
      <c r="E7" s="14">
        <f t="shared" si="0"/>
        <v>2.4115840781603164</v>
      </c>
      <c r="F7" s="14">
        <f t="shared" si="1"/>
        <v>0.25982946400855994</v>
      </c>
      <c r="G7" s="14">
        <f t="shared" si="2"/>
        <v>1.1396914161386937</v>
      </c>
      <c r="H7" s="14">
        <f t="shared" si="3"/>
        <v>0.25982946400855994</v>
      </c>
      <c r="I7" s="21">
        <f t="shared" si="4"/>
        <v>2</v>
      </c>
      <c r="J7" s="3"/>
      <c r="K7" s="3"/>
      <c r="L7" s="3"/>
      <c r="M7" s="3"/>
      <c r="N7" s="3"/>
      <c r="O7" s="3"/>
      <c r="P7" s="12">
        <v>-0.2540487246643735</v>
      </c>
      <c r="Q7" s="12">
        <v>-0.29963011591713057</v>
      </c>
      <c r="R7" s="15">
        <v>1</v>
      </c>
      <c r="S7" s="3"/>
    </row>
    <row r="8" spans="1:19" ht="21">
      <c r="A8" s="6">
        <v>7</v>
      </c>
      <c r="B8" s="12">
        <v>-2.0937119032684581</v>
      </c>
      <c r="C8" s="12">
        <v>0.770477440929764</v>
      </c>
      <c r="D8" s="19">
        <v>3</v>
      </c>
      <c r="E8" s="14">
        <f t="shared" si="0"/>
        <v>11.405826356919174</v>
      </c>
      <c r="F8" s="14">
        <f t="shared" si="1"/>
        <v>6.0935704074240675</v>
      </c>
      <c r="G8" s="14">
        <f t="shared" si="2"/>
        <v>1.9843384772213128</v>
      </c>
      <c r="H8" s="14">
        <f t="shared" si="3"/>
        <v>1.9843384772213128</v>
      </c>
      <c r="I8" s="19">
        <f t="shared" si="4"/>
        <v>3</v>
      </c>
      <c r="J8" s="3"/>
      <c r="K8" s="3"/>
      <c r="L8" s="3"/>
      <c r="M8" s="3"/>
      <c r="N8" s="3"/>
      <c r="O8" s="3"/>
      <c r="P8" s="12">
        <v>0.27156932636536502</v>
      </c>
      <c r="Q8" s="12">
        <v>0.34243441819100617</v>
      </c>
      <c r="R8" s="21">
        <v>2</v>
      </c>
      <c r="S8" s="3"/>
    </row>
    <row r="9" spans="1:19" ht="21">
      <c r="A9" s="6">
        <v>8</v>
      </c>
      <c r="B9" s="12">
        <v>1.1475994114149293</v>
      </c>
      <c r="C9" s="12">
        <v>-2.0118022068721619</v>
      </c>
      <c r="D9" s="15">
        <v>1</v>
      </c>
      <c r="E9" s="14">
        <f t="shared" si="0"/>
        <v>0.95117415030295183</v>
      </c>
      <c r="F9" s="14">
        <f t="shared" si="1"/>
        <v>8.7419555379433049</v>
      </c>
      <c r="G9" s="14">
        <f t="shared" si="2"/>
        <v>8.8067075537587627</v>
      </c>
      <c r="H9" s="14">
        <f t="shared" si="3"/>
        <v>0.95117415030295183</v>
      </c>
      <c r="I9" s="15">
        <f t="shared" si="4"/>
        <v>1</v>
      </c>
      <c r="J9" s="3"/>
      <c r="K9" s="3"/>
      <c r="L9" s="3"/>
      <c r="M9" s="3"/>
      <c r="N9" s="3"/>
      <c r="O9" s="3"/>
      <c r="P9" s="12">
        <v>8.7603008504957662E-3</v>
      </c>
      <c r="Q9" s="12">
        <v>0.12841290682162726</v>
      </c>
      <c r="R9" s="21">
        <v>2</v>
      </c>
      <c r="S9" s="3"/>
    </row>
    <row r="10" spans="1:19" ht="21">
      <c r="A10" s="6">
        <v>9</v>
      </c>
      <c r="B10" s="12">
        <v>-0.69206376718915552</v>
      </c>
      <c r="C10" s="12">
        <v>0.12841290682162726</v>
      </c>
      <c r="D10" s="19">
        <v>3</v>
      </c>
      <c r="E10" s="14">
        <f t="shared" si="0"/>
        <v>3.5325985973885388</v>
      </c>
      <c r="F10" s="14">
        <f t="shared" si="1"/>
        <v>1.6449544134094696</v>
      </c>
      <c r="G10" s="14">
        <f t="shared" si="2"/>
        <v>2.1164071442031369E-2</v>
      </c>
      <c r="H10" s="14">
        <f t="shared" si="3"/>
        <v>2.1164071442031369E-2</v>
      </c>
      <c r="I10" s="19">
        <f t="shared" si="4"/>
        <v>3</v>
      </c>
      <c r="J10" s="3"/>
      <c r="K10" s="3"/>
      <c r="L10" s="3"/>
      <c r="M10" s="3"/>
      <c r="N10" s="3"/>
      <c r="O10" s="3"/>
      <c r="P10" s="12">
        <v>0.79718737739510348</v>
      </c>
      <c r="Q10" s="12">
        <v>1.8405849977766584</v>
      </c>
      <c r="R10" s="21">
        <v>2</v>
      </c>
      <c r="S10" s="3"/>
    </row>
    <row r="11" spans="1:19" ht="21">
      <c r="A11" s="6">
        <v>10</v>
      </c>
      <c r="B11" s="12">
        <v>8.7603008504957662E-3</v>
      </c>
      <c r="C11" s="12">
        <v>0.12841290682162726</v>
      </c>
      <c r="D11" s="21">
        <v>2</v>
      </c>
      <c r="E11" s="14">
        <f t="shared" si="0"/>
        <v>2.1000650055529051</v>
      </c>
      <c r="F11" s="14">
        <f t="shared" si="1"/>
        <v>0.64218089912452614</v>
      </c>
      <c r="G11" s="14">
        <f t="shared" si="2"/>
        <v>0.65045561356982762</v>
      </c>
      <c r="H11" s="14">
        <f t="shared" si="3"/>
        <v>0.64218089912452614</v>
      </c>
      <c r="I11" s="21">
        <f t="shared" si="4"/>
        <v>2</v>
      </c>
      <c r="J11" s="3"/>
      <c r="K11" s="3"/>
      <c r="L11" s="3"/>
      <c r="M11" s="3"/>
      <c r="N11" s="3"/>
      <c r="O11" s="3"/>
      <c r="P11" s="12">
        <v>0.97239339440501638</v>
      </c>
      <c r="Q11" s="12">
        <v>0.98449895229914286</v>
      </c>
      <c r="R11" s="21">
        <v>2</v>
      </c>
      <c r="S11" s="3"/>
    </row>
    <row r="12" spans="1:19" ht="21">
      <c r="A12" s="6">
        <v>11</v>
      </c>
      <c r="B12" s="12">
        <v>0.79718737739510348</v>
      </c>
      <c r="C12" s="12">
        <v>1.8405849977766584</v>
      </c>
      <c r="D12" s="21">
        <v>2</v>
      </c>
      <c r="E12" s="14">
        <f t="shared" si="0"/>
        <v>8.991463813516404</v>
      </c>
      <c r="F12" s="14">
        <f t="shared" si="1"/>
        <v>1.1768154998934632</v>
      </c>
      <c r="G12" s="14">
        <f t="shared" si="2"/>
        <v>5.0976661350435348</v>
      </c>
      <c r="H12" s="14">
        <f t="shared" si="3"/>
        <v>1.1768154998934632</v>
      </c>
      <c r="I12" s="21">
        <f t="shared" si="4"/>
        <v>2</v>
      </c>
      <c r="J12" s="3"/>
      <c r="K12" s="3"/>
      <c r="L12" s="3"/>
      <c r="M12" s="3"/>
      <c r="N12" s="3"/>
      <c r="O12" s="3"/>
      <c r="P12" s="12">
        <v>0.27156932636536502</v>
      </c>
      <c r="Q12" s="12">
        <v>1.6265634864072795</v>
      </c>
      <c r="R12" s="21">
        <v>2</v>
      </c>
      <c r="S12" s="3"/>
    </row>
    <row r="13" spans="1:19" ht="21">
      <c r="A13" s="6">
        <v>12</v>
      </c>
      <c r="B13" s="12">
        <v>-0.2540487246643735</v>
      </c>
      <c r="C13" s="12">
        <v>-0.29963011591713057</v>
      </c>
      <c r="D13" s="15">
        <v>1</v>
      </c>
      <c r="E13" s="14">
        <f t="shared" si="0"/>
        <v>1.6060466494278121</v>
      </c>
      <c r="F13" s="14">
        <f t="shared" si="1"/>
        <v>1.6970635875276965</v>
      </c>
      <c r="G13" s="14">
        <f t="shared" si="2"/>
        <v>0.57418822275811121</v>
      </c>
      <c r="H13" s="14">
        <f t="shared" si="3"/>
        <v>0.57418822275811121</v>
      </c>
      <c r="I13" s="19">
        <f t="shared" si="4"/>
        <v>3</v>
      </c>
      <c r="J13" s="3"/>
      <c r="K13" s="3"/>
      <c r="L13" s="3"/>
      <c r="M13" s="3"/>
      <c r="N13" s="3"/>
      <c r="O13" s="3"/>
      <c r="P13" s="12">
        <v>-7.884270765446065E-2</v>
      </c>
      <c r="Q13" s="12">
        <v>0.12841290682162726</v>
      </c>
      <c r="R13" s="21">
        <v>2</v>
      </c>
      <c r="S13" s="3"/>
    </row>
    <row r="14" spans="1:19" ht="21">
      <c r="A14" s="6">
        <v>13</v>
      </c>
      <c r="B14" s="12">
        <v>-0.2540487246643735</v>
      </c>
      <c r="C14" s="12">
        <v>0.34243441819100617</v>
      </c>
      <c r="D14" s="19">
        <v>3</v>
      </c>
      <c r="E14" s="14">
        <f t="shared" si="0"/>
        <v>3.1176184912793072</v>
      </c>
      <c r="F14" s="14">
        <f t="shared" si="1"/>
        <v>0.64354381896453328</v>
      </c>
      <c r="G14" s="14">
        <f t="shared" si="2"/>
        <v>0.29935697878511214</v>
      </c>
      <c r="H14" s="14">
        <f t="shared" si="3"/>
        <v>0.29935697878511214</v>
      </c>
      <c r="I14" s="19">
        <f t="shared" si="4"/>
        <v>3</v>
      </c>
      <c r="J14" s="3"/>
      <c r="K14" s="3"/>
      <c r="L14" s="3"/>
      <c r="M14" s="3"/>
      <c r="N14" s="3"/>
      <c r="O14" s="3"/>
      <c r="P14" s="12">
        <v>-0.16644571615941706</v>
      </c>
      <c r="Q14" s="12">
        <v>0.98449895229914286</v>
      </c>
      <c r="R14" s="19">
        <v>3</v>
      </c>
      <c r="S14" s="3"/>
    </row>
    <row r="15" spans="1:19" ht="21">
      <c r="A15" s="6">
        <v>14</v>
      </c>
      <c r="B15" s="12">
        <v>0.97239339440501638</v>
      </c>
      <c r="C15" s="12">
        <v>0.98449895229914286</v>
      </c>
      <c r="D15" s="21">
        <v>2</v>
      </c>
      <c r="E15" s="14">
        <f t="shared" si="0"/>
        <v>4.665790589540201</v>
      </c>
      <c r="F15" s="14">
        <f t="shared" si="1"/>
        <v>0.37870444252447644</v>
      </c>
      <c r="G15" s="14">
        <f t="shared" si="2"/>
        <v>3.6693199756575141</v>
      </c>
      <c r="H15" s="14">
        <f t="shared" si="3"/>
        <v>0.37870444252447644</v>
      </c>
      <c r="I15" s="21">
        <f t="shared" si="4"/>
        <v>2</v>
      </c>
      <c r="J15" s="3"/>
      <c r="K15" s="3"/>
      <c r="L15" s="3"/>
      <c r="M15" s="3"/>
      <c r="N15" s="3"/>
      <c r="O15" s="3"/>
      <c r="P15" s="12">
        <v>-2.0937119032684581</v>
      </c>
      <c r="Q15" s="12">
        <v>0.770477440929764</v>
      </c>
      <c r="R15" s="19">
        <v>3</v>
      </c>
      <c r="S15" s="3"/>
    </row>
    <row r="16" spans="1:19" ht="21">
      <c r="A16" s="6">
        <v>15</v>
      </c>
      <c r="B16" s="12">
        <v>0.27156932636536502</v>
      </c>
      <c r="C16" s="12">
        <v>1.6265634864072795</v>
      </c>
      <c r="D16" s="21">
        <v>2</v>
      </c>
      <c r="E16" s="14">
        <f t="shared" si="0"/>
        <v>7.9082089576202987</v>
      </c>
      <c r="F16" s="14">
        <f t="shared" si="1"/>
        <v>0.62627112263922535</v>
      </c>
      <c r="G16" s="14">
        <f t="shared" si="2"/>
        <v>3.0635101239496878</v>
      </c>
      <c r="H16" s="14">
        <f t="shared" si="3"/>
        <v>0.62627112263922535</v>
      </c>
      <c r="I16" s="21">
        <f t="shared" si="4"/>
        <v>2</v>
      </c>
      <c r="J16" s="3"/>
      <c r="K16" s="3"/>
      <c r="L16" s="3"/>
      <c r="M16" s="3"/>
      <c r="N16" s="3"/>
      <c r="O16" s="3"/>
      <c r="P16" s="12">
        <v>-0.69206376718915552</v>
      </c>
      <c r="Q16" s="12">
        <v>0.12841290682162726</v>
      </c>
      <c r="R16" s="19">
        <v>3</v>
      </c>
      <c r="S16" s="3"/>
    </row>
    <row r="17" spans="1:19" ht="21">
      <c r="A17" s="6">
        <v>16</v>
      </c>
      <c r="B17" s="12">
        <v>-0.95487279270402481</v>
      </c>
      <c r="C17" s="12">
        <v>-0.29963011591713057</v>
      </c>
      <c r="D17" s="19">
        <v>3</v>
      </c>
      <c r="E17" s="14">
        <f t="shared" si="0"/>
        <v>3.4069460220211796</v>
      </c>
      <c r="F17" s="14">
        <f t="shared" si="1"/>
        <v>3.0682028825703744</v>
      </c>
      <c r="G17" s="14">
        <f t="shared" si="2"/>
        <v>0.31326246138804925</v>
      </c>
      <c r="H17" s="14">
        <f t="shared" si="3"/>
        <v>0.31326246138804925</v>
      </c>
      <c r="I17" s="19">
        <f t="shared" si="4"/>
        <v>3</v>
      </c>
      <c r="J17" s="3"/>
      <c r="K17" s="3"/>
      <c r="L17" s="3"/>
      <c r="M17" s="3"/>
      <c r="N17" s="3"/>
      <c r="O17" s="3"/>
      <c r="P17" s="12">
        <v>-0.2540487246643735</v>
      </c>
      <c r="Q17" s="12">
        <v>0.34243441819100617</v>
      </c>
      <c r="R17" s="19">
        <v>3</v>
      </c>
      <c r="S17" s="3"/>
    </row>
    <row r="18" spans="1:19" ht="21">
      <c r="A18" s="6">
        <v>17</v>
      </c>
      <c r="B18" s="12">
        <v>-0.16644571615941706</v>
      </c>
      <c r="C18" s="12">
        <v>0.12841290682162726</v>
      </c>
      <c r="D18" s="19">
        <v>3</v>
      </c>
      <c r="E18" s="14">
        <f t="shared" si="0"/>
        <v>2.3661069583223799</v>
      </c>
      <c r="F18" s="14">
        <f t="shared" si="1"/>
        <v>0.80078283250632842</v>
      </c>
      <c r="G18" s="14">
        <f t="shared" si="2"/>
        <v>0.40104128284844498</v>
      </c>
      <c r="H18" s="14">
        <f t="shared" si="3"/>
        <v>0.40104128284844498</v>
      </c>
      <c r="I18" s="19">
        <f t="shared" si="4"/>
        <v>3</v>
      </c>
      <c r="J18" s="3"/>
      <c r="K18" s="3"/>
      <c r="L18" s="3"/>
      <c r="M18" s="3"/>
      <c r="N18" s="3"/>
      <c r="O18" s="3"/>
      <c r="P18" s="12">
        <v>-0.95487279270402481</v>
      </c>
      <c r="Q18" s="12">
        <v>-0.29963011591713057</v>
      </c>
      <c r="R18" s="19">
        <v>3</v>
      </c>
      <c r="S18" s="3"/>
    </row>
    <row r="19" spans="1:19" ht="21">
      <c r="A19" s="6">
        <v>18</v>
      </c>
      <c r="B19" s="12">
        <v>-1.5680938522387198</v>
      </c>
      <c r="C19" s="12">
        <v>0.12841290682162726</v>
      </c>
      <c r="D19" s="19">
        <v>3</v>
      </c>
      <c r="E19" s="14">
        <f t="shared" si="0"/>
        <v>6.7046372650245853</v>
      </c>
      <c r="F19" s="14">
        <f t="shared" si="1"/>
        <v>4.2797929841071536</v>
      </c>
      <c r="G19" s="14">
        <f t="shared" si="2"/>
        <v>0.6159213216237901</v>
      </c>
      <c r="H19" s="14">
        <f t="shared" si="3"/>
        <v>0.6159213216237901</v>
      </c>
      <c r="I19" s="19">
        <f t="shared" si="4"/>
        <v>3</v>
      </c>
      <c r="J19" s="3"/>
      <c r="K19" s="3"/>
      <c r="L19" s="3"/>
      <c r="M19" s="3"/>
      <c r="N19" s="3"/>
      <c r="O19" s="3"/>
      <c r="P19" s="12">
        <v>-0.16644571615941706</v>
      </c>
      <c r="Q19" s="12">
        <v>0.12841290682162726</v>
      </c>
      <c r="R19" s="19">
        <v>3</v>
      </c>
      <c r="S19" s="3"/>
    </row>
    <row r="20" spans="1:19" ht="21">
      <c r="A20" s="6">
        <v>19</v>
      </c>
      <c r="B20" s="12">
        <v>-0.42925474167428629</v>
      </c>
      <c r="C20" s="12">
        <v>-0.29963011591713057</v>
      </c>
      <c r="D20" s="19">
        <v>3</v>
      </c>
      <c r="E20" s="14">
        <f t="shared" si="0"/>
        <v>1.9641800473867206</v>
      </c>
      <c r="F20" s="14">
        <f t="shared" si="1"/>
        <v>1.9477569660989325</v>
      </c>
      <c r="G20" s="14">
        <f t="shared" si="2"/>
        <v>0.41686533722616215</v>
      </c>
      <c r="H20" s="14">
        <f t="shared" si="3"/>
        <v>0.41686533722616215</v>
      </c>
      <c r="I20" s="19">
        <f t="shared" si="4"/>
        <v>3</v>
      </c>
      <c r="J20" s="3"/>
      <c r="K20" s="3"/>
      <c r="L20" s="3"/>
      <c r="M20" s="3"/>
      <c r="N20" s="3"/>
      <c r="O20" s="3"/>
      <c r="P20" s="12">
        <v>-1.5680938522387198</v>
      </c>
      <c r="Q20" s="12">
        <v>0.12841290682162726</v>
      </c>
      <c r="R20" s="19">
        <v>3</v>
      </c>
      <c r="S20" s="3"/>
    </row>
    <row r="21" spans="1:19" ht="21">
      <c r="A21" s="6">
        <v>20</v>
      </c>
      <c r="B21" s="12">
        <v>-7.884270765446065E-2</v>
      </c>
      <c r="C21" s="12">
        <v>0.12841290682162726</v>
      </c>
      <c r="D21" s="21">
        <v>2</v>
      </c>
      <c r="E21" s="14">
        <f t="shared" si="0"/>
        <v>2.225411694838523</v>
      </c>
      <c r="F21" s="14">
        <f t="shared" si="1"/>
        <v>0.71380757871630784</v>
      </c>
      <c r="G21" s="14">
        <f t="shared" si="2"/>
        <v>0.51807416111001692</v>
      </c>
      <c r="H21" s="14">
        <f t="shared" si="3"/>
        <v>0.51807416111001692</v>
      </c>
      <c r="I21" s="19">
        <f t="shared" si="4"/>
        <v>3</v>
      </c>
      <c r="J21" s="3"/>
      <c r="K21" s="3"/>
      <c r="L21" s="3"/>
      <c r="M21" s="3"/>
      <c r="N21" s="3"/>
      <c r="O21" s="3"/>
      <c r="P21" s="12">
        <v>-0.42925474167428629</v>
      </c>
      <c r="Q21" s="12">
        <v>-0.29963011591713057</v>
      </c>
      <c r="R21" s="19">
        <v>3</v>
      </c>
      <c r="S21" s="3"/>
    </row>
    <row r="22" spans="1:19" ht="21">
      <c r="A22" s="3"/>
      <c r="B22" s="3"/>
      <c r="C22" s="3"/>
      <c r="D22" s="3"/>
      <c r="E22" s="14"/>
      <c r="F22" s="14"/>
      <c r="G22" s="14"/>
      <c r="H22" s="1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2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2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2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2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2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</sheetData>
  <sortState ref="P2:R21">
    <sortCondition ref="R2"/>
  </sortState>
  <mergeCells count="1">
    <mergeCell ref="K1:N1"/>
  </mergeCells>
  <phoneticPr fontId="4" type="noConversion"/>
  <pageMargins left="0.7" right="0.7" top="0.75" bottom="0.75" header="0.3" footer="0.3"/>
  <pageSetup paperSize="9" scale="40" orientation="landscape" r:id="rId1"/>
  <ignoredErrors>
    <ignoredError sqref="L3:N4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zoomScale="70" zoomScaleNormal="70" workbookViewId="0">
      <selection activeCell="I2" sqref="I2"/>
    </sheetView>
  </sheetViews>
  <sheetFormatPr defaultRowHeight="16.5"/>
  <cols>
    <col min="1" max="1" width="6" bestFit="1" customWidth="1"/>
    <col min="2" max="3" width="19.875" bestFit="1" customWidth="1"/>
    <col min="4" max="4" width="17.875" bestFit="1" customWidth="1"/>
    <col min="5" max="8" width="18.625" bestFit="1" customWidth="1"/>
    <col min="9" max="9" width="17.875" bestFit="1" customWidth="1"/>
    <col min="11" max="11" width="14.5" bestFit="1" customWidth="1"/>
    <col min="12" max="12" width="19.875" bestFit="1" customWidth="1"/>
    <col min="13" max="13" width="18.625" bestFit="1" customWidth="1"/>
    <col min="14" max="14" width="19.875" bestFit="1" customWidth="1"/>
    <col min="16" max="17" width="19.875" bestFit="1" customWidth="1"/>
    <col min="18" max="18" width="26.875" bestFit="1" customWidth="1"/>
  </cols>
  <sheetData>
    <row r="1" spans="1:19" ht="21">
      <c r="A1" s="4" t="s">
        <v>1</v>
      </c>
      <c r="B1" s="4" t="s">
        <v>6</v>
      </c>
      <c r="C1" s="4" t="s">
        <v>7</v>
      </c>
      <c r="D1" s="11" t="s">
        <v>30</v>
      </c>
      <c r="E1" s="4" t="s">
        <v>23</v>
      </c>
      <c r="F1" s="4" t="s">
        <v>24</v>
      </c>
      <c r="G1" s="4" t="s">
        <v>25</v>
      </c>
      <c r="H1" s="4" t="s">
        <v>27</v>
      </c>
      <c r="I1" s="10" t="s">
        <v>26</v>
      </c>
      <c r="J1" s="3"/>
      <c r="K1" s="44" t="s">
        <v>9</v>
      </c>
      <c r="L1" s="45"/>
      <c r="M1" s="45"/>
      <c r="N1" s="46"/>
      <c r="O1" s="3"/>
      <c r="P1" s="4" t="s">
        <v>6</v>
      </c>
      <c r="Q1" s="4" t="s">
        <v>7</v>
      </c>
      <c r="R1" s="11" t="s">
        <v>32</v>
      </c>
      <c r="S1" s="3"/>
    </row>
    <row r="2" spans="1:19" ht="21">
      <c r="A2" s="6">
        <v>1</v>
      </c>
      <c r="B2" s="12">
        <v>-0.51685775017924274</v>
      </c>
      <c r="C2" s="12">
        <v>-0.9416946500252672</v>
      </c>
      <c r="D2" s="19">
        <v>3</v>
      </c>
      <c r="E2" s="3">
        <f>SUMXMY2($B2:$C2,L$3:L$4)</f>
        <v>3.2253404737025049</v>
      </c>
      <c r="F2" s="3">
        <f>SUMXMY2($B2:$C2,M$3:M$4)</f>
        <v>4.4776505035474345</v>
      </c>
      <c r="G2" s="3">
        <f>SUMXMY2($B2:$C2,N$3:N$4)</f>
        <v>0.88078188961724235</v>
      </c>
      <c r="H2" s="3">
        <f>MIN(E2:G2)</f>
        <v>0.88078188961724235</v>
      </c>
      <c r="I2" s="19">
        <f>IF(H2=E2,1,IF(H2=F2,2,3))</f>
        <v>3</v>
      </c>
      <c r="J2" s="3"/>
      <c r="K2" s="16"/>
      <c r="L2" s="17" t="s">
        <v>12</v>
      </c>
      <c r="M2" s="18" t="s">
        <v>13</v>
      </c>
      <c r="N2" s="17" t="s">
        <v>14</v>
      </c>
      <c r="O2" s="3"/>
      <c r="P2" s="12">
        <v>2.198835513474406</v>
      </c>
      <c r="Q2" s="12">
        <v>-1.583759184133404</v>
      </c>
      <c r="R2" s="15">
        <v>1</v>
      </c>
      <c r="S2" s="3"/>
    </row>
    <row r="3" spans="1:19" ht="21">
      <c r="A3" s="6">
        <v>2</v>
      </c>
      <c r="B3" s="12">
        <v>-0.16644571615941706</v>
      </c>
      <c r="C3" s="12">
        <v>0.98449895229914286</v>
      </c>
      <c r="D3" s="21">
        <v>2</v>
      </c>
      <c r="E3" s="3">
        <f t="shared" ref="E3:E21" si="0">SUMXMY2($B3:$C3,L$3:L$4)</f>
        <v>7.7009243960807714</v>
      </c>
      <c r="F3" s="3">
        <f t="shared" ref="F3:F21" si="1">SUMXMY2($B3:$C3,M$3:M$4)</f>
        <v>0.27627433556830089</v>
      </c>
      <c r="G3" s="3">
        <f t="shared" ref="G3:G21" si="2">SUMXMY2($B3:$C3,N$3:N$4)</f>
        <v>1.2973972528521602</v>
      </c>
      <c r="H3" s="3">
        <f t="shared" ref="H3:H21" si="3">MIN(E3:G3)</f>
        <v>0.27627433556830089</v>
      </c>
      <c r="I3" s="21">
        <f t="shared" ref="I3:I21" si="4">IF(H3=E3,1,IF(H3=F3,2,3))</f>
        <v>2</v>
      </c>
      <c r="J3" s="3"/>
      <c r="K3" s="16" t="s">
        <v>10</v>
      </c>
      <c r="L3" s="17">
        <f>AVERAGE(P2:P5)</f>
        <v>1.2133016677936466</v>
      </c>
      <c r="M3" s="18">
        <f>AVERAGE(P6:P11)</f>
        <v>0.35917233487032146</v>
      </c>
      <c r="N3" s="17">
        <f>AVERAGE(P12:P21)</f>
        <v>-0.70082406803965125</v>
      </c>
      <c r="O3" s="3"/>
      <c r="P3" s="12">
        <v>8.7603008504957662E-3</v>
      </c>
      <c r="Q3" s="12">
        <v>-0.72767313865588834</v>
      </c>
      <c r="R3" s="15">
        <v>1</v>
      </c>
      <c r="S3" s="3"/>
    </row>
    <row r="4" spans="1:19" ht="21">
      <c r="A4" s="6">
        <v>3</v>
      </c>
      <c r="B4" s="12">
        <v>2.198835513474406</v>
      </c>
      <c r="C4" s="12">
        <v>-1.583759184133404</v>
      </c>
      <c r="D4" s="15">
        <v>1</v>
      </c>
      <c r="E4" s="3">
        <f t="shared" si="0"/>
        <v>0.99704239010477558</v>
      </c>
      <c r="F4" s="3">
        <f t="shared" si="1"/>
        <v>9.9803104660636635</v>
      </c>
      <c r="G4" s="3">
        <f t="shared" si="2"/>
        <v>10.848985187219796</v>
      </c>
      <c r="H4" s="3">
        <f t="shared" si="3"/>
        <v>0.99704239010477558</v>
      </c>
      <c r="I4" s="15">
        <f t="shared" si="4"/>
        <v>1</v>
      </c>
      <c r="J4" s="3"/>
      <c r="K4" s="16" t="s">
        <v>11</v>
      </c>
      <c r="L4" s="17">
        <f>AVERAGE(Q2:Q5)</f>
        <v>-1.4232430506063698</v>
      </c>
      <c r="M4" s="3">
        <f>AVERAGE(Q6:Q11)</f>
        <v>0.98449895229914297</v>
      </c>
      <c r="N4" s="17">
        <f>AVERAGE(Q12:Q21)</f>
        <v>-2.1402151136937969E-2</v>
      </c>
      <c r="O4" s="3"/>
      <c r="P4" s="12">
        <v>1.4980114454347548</v>
      </c>
      <c r="Q4" s="12">
        <v>-1.3697376727640251</v>
      </c>
      <c r="R4" s="15">
        <v>1</v>
      </c>
      <c r="S4" s="3"/>
    </row>
    <row r="5" spans="1:19" ht="21">
      <c r="A5" s="6">
        <v>4</v>
      </c>
      <c r="B5" s="12">
        <v>8.7603008504957662E-3</v>
      </c>
      <c r="C5" s="12">
        <v>-0.72767313865588834</v>
      </c>
      <c r="D5" s="15">
        <v>1</v>
      </c>
      <c r="E5" s="3">
        <f t="shared" si="0"/>
        <v>1.9347374070880747</v>
      </c>
      <c r="F5" s="3">
        <f t="shared" si="1"/>
        <v>3.0543218626312356</v>
      </c>
      <c r="G5" s="3">
        <f t="shared" si="2"/>
        <v>1.0023286843842214</v>
      </c>
      <c r="H5" s="3">
        <f t="shared" si="3"/>
        <v>1.0023286843842214</v>
      </c>
      <c r="I5" s="19">
        <f t="shared" si="4"/>
        <v>3</v>
      </c>
      <c r="J5" s="3"/>
      <c r="K5" s="16" t="s">
        <v>15</v>
      </c>
      <c r="L5" s="20">
        <f>COUNTIF($D$2:$D$21,1)/100</f>
        <v>0.04</v>
      </c>
      <c r="M5" s="20">
        <f>COUNTIF($D$2:$D$21,2)/100</f>
        <v>0.06</v>
      </c>
      <c r="N5" s="20">
        <f>COUNTIF($D$2:$D$21,3)/100</f>
        <v>0.1</v>
      </c>
      <c r="O5" s="3"/>
      <c r="P5" s="12">
        <v>1.1475994114149293</v>
      </c>
      <c r="Q5" s="12">
        <v>-2.0118022068721619</v>
      </c>
      <c r="R5" s="15">
        <v>1</v>
      </c>
      <c r="S5" s="3"/>
    </row>
    <row r="6" spans="1:19" ht="21">
      <c r="A6" s="6">
        <v>5</v>
      </c>
      <c r="B6" s="12">
        <v>1.4980114454347548</v>
      </c>
      <c r="C6" s="12">
        <v>-1.3697376727640251</v>
      </c>
      <c r="D6" s="15">
        <v>1</v>
      </c>
      <c r="E6" s="3">
        <f t="shared" si="0"/>
        <v>8.3922482942501389E-2</v>
      </c>
      <c r="F6" s="3">
        <f t="shared" si="1"/>
        <v>6.8393846065400048</v>
      </c>
      <c r="G6" s="3">
        <f t="shared" si="2"/>
        <v>6.6528862941976437</v>
      </c>
      <c r="H6" s="3">
        <f t="shared" si="3"/>
        <v>8.3922482942501389E-2</v>
      </c>
      <c r="I6" s="15">
        <f t="shared" si="4"/>
        <v>1</v>
      </c>
      <c r="J6" s="3"/>
      <c r="K6" s="3"/>
      <c r="L6" s="3"/>
      <c r="M6" s="3"/>
      <c r="N6" s="3"/>
      <c r="O6" s="3"/>
      <c r="P6" s="12">
        <v>-0.16644571615941706</v>
      </c>
      <c r="Q6" s="12">
        <v>0.98449895229914286</v>
      </c>
      <c r="R6" s="21">
        <v>2</v>
      </c>
      <c r="S6" s="3"/>
    </row>
    <row r="7" spans="1:19" ht="21">
      <c r="A7" s="6">
        <v>6</v>
      </c>
      <c r="B7" s="12">
        <v>0.27156932636536502</v>
      </c>
      <c r="C7" s="12">
        <v>0.34243441819100617</v>
      </c>
      <c r="D7" s="21">
        <v>2</v>
      </c>
      <c r="E7" s="3">
        <f t="shared" si="0"/>
        <v>4.0044767267107018</v>
      </c>
      <c r="F7" s="3">
        <f t="shared" si="1"/>
        <v>0.41992115305861827</v>
      </c>
      <c r="G7" s="3">
        <f t="shared" si="2"/>
        <v>1.0779259626628375</v>
      </c>
      <c r="H7" s="3">
        <f t="shared" si="3"/>
        <v>0.41992115305861827</v>
      </c>
      <c r="I7" s="21">
        <f t="shared" si="4"/>
        <v>2</v>
      </c>
      <c r="J7" s="3"/>
      <c r="K7" s="3"/>
      <c r="L7" s="3"/>
      <c r="M7" s="3"/>
      <c r="N7" s="3"/>
      <c r="O7" s="3"/>
      <c r="P7" s="12">
        <v>0.27156932636536502</v>
      </c>
      <c r="Q7" s="12">
        <v>0.34243441819100617</v>
      </c>
      <c r="R7" s="21">
        <v>2</v>
      </c>
      <c r="S7" s="3"/>
    </row>
    <row r="8" spans="1:19" ht="21">
      <c r="A8" s="6">
        <v>7</v>
      </c>
      <c r="B8" s="12">
        <v>-2.0937119032684581</v>
      </c>
      <c r="C8" s="12">
        <v>0.770477440929764</v>
      </c>
      <c r="D8" s="19">
        <v>3</v>
      </c>
      <c r="E8" s="3">
        <f t="shared" si="0"/>
        <v>15.748748354174472</v>
      </c>
      <c r="F8" s="3">
        <f t="shared" si="1"/>
        <v>6.0624462930384935</v>
      </c>
      <c r="G8" s="3">
        <f t="shared" si="2"/>
        <v>2.5672098098601186</v>
      </c>
      <c r="H8" s="3">
        <f t="shared" si="3"/>
        <v>2.5672098098601186</v>
      </c>
      <c r="I8" s="19">
        <f t="shared" si="4"/>
        <v>3</v>
      </c>
      <c r="J8" s="3"/>
      <c r="K8" s="3"/>
      <c r="L8" s="3"/>
      <c r="M8" s="3"/>
      <c r="N8" s="3"/>
      <c r="O8" s="3"/>
      <c r="P8" s="12">
        <v>8.7603008504957662E-3</v>
      </c>
      <c r="Q8" s="12">
        <v>0.12841290682162726</v>
      </c>
      <c r="R8" s="21">
        <v>2</v>
      </c>
      <c r="S8" s="3"/>
    </row>
    <row r="9" spans="1:19" ht="21">
      <c r="A9" s="6">
        <v>8</v>
      </c>
      <c r="B9" s="12">
        <v>1.1475994114149293</v>
      </c>
      <c r="C9" s="12">
        <v>-2.0118022068721619</v>
      </c>
      <c r="D9" s="15">
        <v>1</v>
      </c>
      <c r="E9" s="3">
        <f t="shared" si="0"/>
        <v>0.35071866691755582</v>
      </c>
      <c r="F9" s="3">
        <f t="shared" si="1"/>
        <v>9.5994378914799814</v>
      </c>
      <c r="G9" s="3">
        <f t="shared" si="2"/>
        <v>7.3783617412697602</v>
      </c>
      <c r="H9" s="3">
        <f t="shared" si="3"/>
        <v>0.35071866691755582</v>
      </c>
      <c r="I9" s="15">
        <f t="shared" si="4"/>
        <v>1</v>
      </c>
      <c r="J9" s="3"/>
      <c r="K9" s="3"/>
      <c r="L9" s="3"/>
      <c r="M9" s="3"/>
      <c r="N9" s="3"/>
      <c r="O9" s="3"/>
      <c r="P9" s="12">
        <v>0.79718737739510348</v>
      </c>
      <c r="Q9" s="12">
        <v>1.8405849977766584</v>
      </c>
      <c r="R9" s="21">
        <v>2</v>
      </c>
      <c r="S9" s="3"/>
    </row>
    <row r="10" spans="1:19" ht="21">
      <c r="A10" s="6">
        <v>9</v>
      </c>
      <c r="B10" s="12">
        <v>-0.69206376718915552</v>
      </c>
      <c r="C10" s="12">
        <v>0.12841290682162726</v>
      </c>
      <c r="D10" s="19">
        <v>3</v>
      </c>
      <c r="E10" s="3">
        <f t="shared" si="0"/>
        <v>6.0380536510489966</v>
      </c>
      <c r="F10" s="3">
        <f t="shared" si="1"/>
        <v>1.837980659534534</v>
      </c>
      <c r="G10" s="3">
        <f t="shared" si="2"/>
        <v>2.2521294462119455E-2</v>
      </c>
      <c r="H10" s="3">
        <f t="shared" si="3"/>
        <v>2.2521294462119455E-2</v>
      </c>
      <c r="I10" s="19">
        <f t="shared" si="4"/>
        <v>3</v>
      </c>
      <c r="J10" s="3"/>
      <c r="K10" s="3"/>
      <c r="L10" s="3"/>
      <c r="M10" s="3"/>
      <c r="N10" s="3"/>
      <c r="O10" s="3"/>
      <c r="P10" s="12">
        <v>0.97239339440501638</v>
      </c>
      <c r="Q10" s="12">
        <v>0.98449895229914286</v>
      </c>
      <c r="R10" s="21">
        <v>2</v>
      </c>
      <c r="S10" s="3"/>
    </row>
    <row r="11" spans="1:19" ht="21">
      <c r="A11" s="6">
        <v>10</v>
      </c>
      <c r="B11" s="12">
        <v>8.7603008504957662E-3</v>
      </c>
      <c r="C11" s="12">
        <v>0.12841290682162726</v>
      </c>
      <c r="D11" s="21">
        <v>2</v>
      </c>
      <c r="E11" s="3">
        <f t="shared" si="0"/>
        <v>3.8585561148990686</v>
      </c>
      <c r="F11" s="3">
        <f t="shared" si="1"/>
        <v>0.85567191084724248</v>
      </c>
      <c r="G11" s="3">
        <f t="shared" si="2"/>
        <v>0.52595452816435639</v>
      </c>
      <c r="H11" s="3">
        <f t="shared" si="3"/>
        <v>0.52595452816435639</v>
      </c>
      <c r="I11" s="19">
        <f t="shared" si="4"/>
        <v>3</v>
      </c>
      <c r="J11" s="3"/>
      <c r="K11" s="3"/>
      <c r="L11" s="3"/>
      <c r="M11" s="3"/>
      <c r="N11" s="3"/>
      <c r="O11" s="3"/>
      <c r="P11" s="12">
        <v>0.27156932636536502</v>
      </c>
      <c r="Q11" s="12">
        <v>1.6265634864072795</v>
      </c>
      <c r="R11" s="21">
        <v>2</v>
      </c>
      <c r="S11" s="3"/>
    </row>
    <row r="12" spans="1:19" ht="21">
      <c r="A12" s="6">
        <v>11</v>
      </c>
      <c r="B12" s="12">
        <v>0.79718737739510348</v>
      </c>
      <c r="C12" s="12">
        <v>1.8405849977766584</v>
      </c>
      <c r="D12" s="21">
        <v>2</v>
      </c>
      <c r="E12" s="3">
        <f t="shared" si="0"/>
        <v>10.825724632085651</v>
      </c>
      <c r="F12" s="3">
        <f t="shared" si="1"/>
        <v>0.92474049473931719</v>
      </c>
      <c r="G12" s="3">
        <f t="shared" si="2"/>
        <v>5.7110344333729071</v>
      </c>
      <c r="H12" s="3">
        <f t="shared" si="3"/>
        <v>0.92474049473931719</v>
      </c>
      <c r="I12" s="21">
        <f t="shared" si="4"/>
        <v>2</v>
      </c>
      <c r="J12" s="3"/>
      <c r="K12" s="3"/>
      <c r="L12" s="3"/>
      <c r="M12" s="3"/>
      <c r="N12" s="3"/>
      <c r="O12" s="3"/>
      <c r="P12" s="12">
        <v>-0.51685775017924274</v>
      </c>
      <c r="Q12" s="12">
        <v>-0.9416946500252672</v>
      </c>
      <c r="R12" s="19">
        <v>3</v>
      </c>
      <c r="S12" s="3"/>
    </row>
    <row r="13" spans="1:19" ht="21">
      <c r="A13" s="6">
        <v>12</v>
      </c>
      <c r="B13" s="12">
        <v>-0.2540487246643735</v>
      </c>
      <c r="C13" s="12">
        <v>-0.29963011591713057</v>
      </c>
      <c r="D13" s="19">
        <v>3</v>
      </c>
      <c r="E13" s="3">
        <f t="shared" si="0"/>
        <v>3.4156232012476702</v>
      </c>
      <c r="F13" s="3">
        <f t="shared" si="1"/>
        <v>2.0250275316948492</v>
      </c>
      <c r="G13" s="3">
        <f t="shared" si="2"/>
        <v>0.27701900783382544</v>
      </c>
      <c r="H13" s="3">
        <f t="shared" si="3"/>
        <v>0.27701900783382544</v>
      </c>
      <c r="I13" s="19">
        <f t="shared" si="4"/>
        <v>3</v>
      </c>
      <c r="J13" s="3"/>
      <c r="K13" s="3"/>
      <c r="L13" s="3"/>
      <c r="M13" s="3"/>
      <c r="N13" s="3"/>
      <c r="O13" s="3"/>
      <c r="P13" s="12">
        <v>-2.0937119032684581</v>
      </c>
      <c r="Q13" s="12">
        <v>0.770477440929764</v>
      </c>
      <c r="R13" s="19">
        <v>3</v>
      </c>
      <c r="S13" s="3"/>
    </row>
    <row r="14" spans="1:19" ht="21">
      <c r="A14" s="6">
        <v>13</v>
      </c>
      <c r="B14" s="12">
        <v>-0.2540487246643735</v>
      </c>
      <c r="C14" s="12">
        <v>0.34243441819100617</v>
      </c>
      <c r="D14" s="19">
        <v>3</v>
      </c>
      <c r="E14" s="3">
        <f t="shared" si="0"/>
        <v>5.2707340980654145</v>
      </c>
      <c r="F14" s="3">
        <f t="shared" si="1"/>
        <v>0.78828693381635273</v>
      </c>
      <c r="G14" s="3">
        <f t="shared" si="2"/>
        <v>0.33198525662842526</v>
      </c>
      <c r="H14" s="3">
        <f t="shared" si="3"/>
        <v>0.33198525662842526</v>
      </c>
      <c r="I14" s="19">
        <f t="shared" si="4"/>
        <v>3</v>
      </c>
      <c r="J14" s="3"/>
      <c r="K14" s="3"/>
      <c r="L14" s="3"/>
      <c r="M14" s="3"/>
      <c r="N14" s="3"/>
      <c r="O14" s="3"/>
      <c r="P14" s="12">
        <v>-0.69206376718915552</v>
      </c>
      <c r="Q14" s="12">
        <v>0.12841290682162726</v>
      </c>
      <c r="R14" s="19">
        <v>3</v>
      </c>
      <c r="S14" s="3"/>
    </row>
    <row r="15" spans="1:19" ht="21">
      <c r="A15" s="6">
        <v>14</v>
      </c>
      <c r="B15" s="12">
        <v>0.97239339440501638</v>
      </c>
      <c r="C15" s="12">
        <v>0.98449895229914286</v>
      </c>
      <c r="D15" s="21">
        <v>2</v>
      </c>
      <c r="E15" s="3">
        <f t="shared" si="0"/>
        <v>5.8552583487425398</v>
      </c>
      <c r="F15" s="3">
        <f t="shared" si="1"/>
        <v>0.3760400678568539</v>
      </c>
      <c r="G15" s="3">
        <f t="shared" si="2"/>
        <v>3.8114937065236978</v>
      </c>
      <c r="H15" s="3">
        <f t="shared" si="3"/>
        <v>0.3760400678568539</v>
      </c>
      <c r="I15" s="21">
        <f t="shared" si="4"/>
        <v>2</v>
      </c>
      <c r="J15" s="3"/>
      <c r="K15" s="3"/>
      <c r="L15" s="3"/>
      <c r="M15" s="3"/>
      <c r="N15" s="3"/>
      <c r="O15" s="3"/>
      <c r="P15" s="12">
        <v>-0.2540487246643735</v>
      </c>
      <c r="Q15" s="12">
        <v>-0.29963011591713057</v>
      </c>
      <c r="R15" s="19">
        <v>3</v>
      </c>
      <c r="S15" s="3"/>
    </row>
    <row r="16" spans="1:19" ht="21">
      <c r="A16" s="6">
        <v>15</v>
      </c>
      <c r="B16" s="12">
        <v>0.27156932636536502</v>
      </c>
      <c r="C16" s="12">
        <v>1.6265634864072795</v>
      </c>
      <c r="D16" s="21">
        <v>2</v>
      </c>
      <c r="E16" s="3">
        <f t="shared" si="0"/>
        <v>10.188179716103182</v>
      </c>
      <c r="F16" s="3">
        <f t="shared" si="1"/>
        <v>0.41992115305861799</v>
      </c>
      <c r="G16" s="3">
        <f t="shared" si="2"/>
        <v>3.6613396560090292</v>
      </c>
      <c r="H16" s="3">
        <f t="shared" si="3"/>
        <v>0.41992115305861799</v>
      </c>
      <c r="I16" s="21">
        <f t="shared" si="4"/>
        <v>2</v>
      </c>
      <c r="J16" s="3"/>
      <c r="K16" s="3"/>
      <c r="L16" s="3"/>
      <c r="M16" s="3"/>
      <c r="N16" s="3"/>
      <c r="O16" s="3"/>
      <c r="P16" s="12">
        <v>-0.2540487246643735</v>
      </c>
      <c r="Q16" s="12">
        <v>0.34243441819100617</v>
      </c>
      <c r="R16" s="19">
        <v>3</v>
      </c>
      <c r="S16" s="3"/>
    </row>
    <row r="17" spans="1:19" ht="21">
      <c r="A17" s="6">
        <v>16</v>
      </c>
      <c r="B17" s="12">
        <v>-0.95487279270402481</v>
      </c>
      <c r="C17" s="12">
        <v>-0.29963011591713057</v>
      </c>
      <c r="D17" s="19">
        <v>3</v>
      </c>
      <c r="E17" s="3">
        <f t="shared" si="0"/>
        <v>5.9634865181553334</v>
      </c>
      <c r="F17" s="3">
        <f t="shared" si="1"/>
        <v>3.3757020611398749</v>
      </c>
      <c r="G17" s="3">
        <f t="shared" si="2"/>
        <v>0.14195155488932279</v>
      </c>
      <c r="H17" s="3">
        <f t="shared" si="3"/>
        <v>0.14195155488932279</v>
      </c>
      <c r="I17" s="19">
        <f t="shared" si="4"/>
        <v>3</v>
      </c>
      <c r="J17" s="3"/>
      <c r="K17" s="3"/>
      <c r="L17" s="3"/>
      <c r="M17" s="3"/>
      <c r="N17" s="3"/>
      <c r="O17" s="3"/>
      <c r="P17" s="12">
        <v>-0.95487279270402481</v>
      </c>
      <c r="Q17" s="12">
        <v>-0.29963011591713057</v>
      </c>
      <c r="R17" s="19">
        <v>3</v>
      </c>
      <c r="S17" s="3"/>
    </row>
    <row r="18" spans="1:19" ht="21">
      <c r="A18" s="6">
        <v>17</v>
      </c>
      <c r="B18" s="12">
        <v>-0.16644571615941706</v>
      </c>
      <c r="C18" s="12">
        <v>0.12841290682162726</v>
      </c>
      <c r="D18" s="19">
        <v>3</v>
      </c>
      <c r="E18" s="3">
        <f t="shared" si="0"/>
        <v>4.3113390537471172</v>
      </c>
      <c r="F18" s="3">
        <f t="shared" si="1"/>
        <v>1.009157652829632</v>
      </c>
      <c r="G18" s="3">
        <f t="shared" si="2"/>
        <v>0.30800477454936365</v>
      </c>
      <c r="H18" s="3">
        <f t="shared" si="3"/>
        <v>0.30800477454936365</v>
      </c>
      <c r="I18" s="19">
        <f t="shared" si="4"/>
        <v>3</v>
      </c>
      <c r="J18" s="3"/>
      <c r="K18" s="3"/>
      <c r="L18" s="3"/>
      <c r="M18" s="3"/>
      <c r="N18" s="3"/>
      <c r="O18" s="3"/>
      <c r="P18" s="12">
        <v>-0.16644571615941706</v>
      </c>
      <c r="Q18" s="12">
        <v>0.12841290682162726</v>
      </c>
      <c r="R18" s="19">
        <v>3</v>
      </c>
      <c r="S18" s="3"/>
    </row>
    <row r="19" spans="1:19" ht="21">
      <c r="A19" s="6">
        <v>18</v>
      </c>
      <c r="B19" s="12">
        <v>-1.5680938522387198</v>
      </c>
      <c r="C19" s="12">
        <v>0.12841290682162726</v>
      </c>
      <c r="D19" s="19">
        <v>3</v>
      </c>
      <c r="E19" s="3">
        <f t="shared" si="0"/>
        <v>10.143797249077911</v>
      </c>
      <c r="F19" s="3">
        <f t="shared" si="1"/>
        <v>4.4472382732351532</v>
      </c>
      <c r="G19" s="3">
        <f t="shared" si="2"/>
        <v>0.77460143017582717</v>
      </c>
      <c r="H19" s="3">
        <f t="shared" si="3"/>
        <v>0.77460143017582717</v>
      </c>
      <c r="I19" s="19">
        <f t="shared" si="4"/>
        <v>3</v>
      </c>
      <c r="J19" s="3"/>
      <c r="K19" s="3"/>
      <c r="L19" s="3"/>
      <c r="M19" s="3"/>
      <c r="N19" s="3"/>
      <c r="O19" s="3"/>
      <c r="P19" s="12">
        <v>-1.5680938522387198</v>
      </c>
      <c r="Q19" s="12">
        <v>0.12841290682162726</v>
      </c>
      <c r="R19" s="19">
        <v>3</v>
      </c>
      <c r="S19" s="3"/>
    </row>
    <row r="20" spans="1:19" ht="21">
      <c r="A20" s="6">
        <v>19</v>
      </c>
      <c r="B20" s="12">
        <v>-0.42925474167428629</v>
      </c>
      <c r="C20" s="12">
        <v>-0.29963011591713057</v>
      </c>
      <c r="D20" s="19">
        <v>3</v>
      </c>
      <c r="E20" s="3">
        <f t="shared" si="0"/>
        <v>3.9604975852851521</v>
      </c>
      <c r="F20" s="3">
        <f t="shared" si="1"/>
        <v>2.270604718866672</v>
      </c>
      <c r="G20" s="3">
        <f t="shared" si="2"/>
        <v>0.15116069940826621</v>
      </c>
      <c r="H20" s="3">
        <f t="shared" si="3"/>
        <v>0.15116069940826621</v>
      </c>
      <c r="I20" s="19">
        <f t="shared" si="4"/>
        <v>3</v>
      </c>
      <c r="J20" s="3"/>
      <c r="K20" s="3"/>
      <c r="L20" s="3"/>
      <c r="M20" s="3"/>
      <c r="N20" s="3"/>
      <c r="O20" s="3"/>
      <c r="P20" s="12">
        <v>-0.42925474167428629</v>
      </c>
      <c r="Q20" s="12">
        <v>-0.29963011591713057</v>
      </c>
      <c r="R20" s="19">
        <v>3</v>
      </c>
      <c r="S20" s="3"/>
    </row>
    <row r="21" spans="1:19" ht="21">
      <c r="A21" s="6">
        <v>20</v>
      </c>
      <c r="B21" s="12">
        <v>-7.884270765446065E-2</v>
      </c>
      <c r="C21" s="12">
        <v>0.12841290682162726</v>
      </c>
      <c r="D21" s="19">
        <v>3</v>
      </c>
      <c r="E21" s="3">
        <f t="shared" si="0"/>
        <v>4.0772732972239734</v>
      </c>
      <c r="F21" s="3">
        <f t="shared" si="1"/>
        <v>0.92474049473931774</v>
      </c>
      <c r="G21" s="3">
        <f t="shared" si="2"/>
        <v>0.40930536425774056</v>
      </c>
      <c r="H21" s="3">
        <f t="shared" si="3"/>
        <v>0.40930536425774056</v>
      </c>
      <c r="I21" s="19">
        <f t="shared" si="4"/>
        <v>3</v>
      </c>
      <c r="J21" s="3"/>
      <c r="K21" s="3"/>
      <c r="L21" s="3"/>
      <c r="M21" s="3"/>
      <c r="N21" s="3"/>
      <c r="O21" s="3"/>
      <c r="P21" s="12">
        <v>-7.884270765446065E-2</v>
      </c>
      <c r="Q21" s="12">
        <v>0.12841290682162726</v>
      </c>
      <c r="R21" s="19">
        <v>3</v>
      </c>
      <c r="S21" s="3"/>
    </row>
    <row r="22" spans="1:19" ht="2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2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2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2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2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2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2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</sheetData>
  <sortState ref="P2:R21">
    <sortCondition ref="R2"/>
  </sortState>
  <mergeCells count="1">
    <mergeCell ref="K1:N1"/>
  </mergeCells>
  <phoneticPr fontId="4" type="noConversion"/>
  <pageMargins left="0.7" right="0.7" top="0.75" bottom="0.75" header="0.3" footer="0.3"/>
  <pageSetup paperSize="9" scale="40" orientation="landscape" r:id="rId1"/>
  <ignoredErrors>
    <ignoredError sqref="L3:N4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zoomScale="70" zoomScaleNormal="70" workbookViewId="0">
      <selection activeCell="I1" sqref="I1:I21"/>
    </sheetView>
  </sheetViews>
  <sheetFormatPr defaultRowHeight="16.5"/>
  <cols>
    <col min="1" max="1" width="5.5" customWidth="1"/>
    <col min="2" max="3" width="19.5" bestFit="1" customWidth="1"/>
    <col min="4" max="4" width="17.5" bestFit="1" customWidth="1"/>
    <col min="5" max="8" width="18.5" bestFit="1" customWidth="1"/>
    <col min="9" max="9" width="17.5" bestFit="1" customWidth="1"/>
    <col min="11" max="11" width="14.125" bestFit="1" customWidth="1"/>
    <col min="12" max="12" width="19.5" bestFit="1" customWidth="1"/>
    <col min="13" max="13" width="18.5" bestFit="1" customWidth="1"/>
    <col min="14" max="14" width="19.5" bestFit="1" customWidth="1"/>
    <col min="16" max="17" width="19.5" bestFit="1" customWidth="1"/>
    <col min="18" max="18" width="25.125" bestFit="1" customWidth="1"/>
  </cols>
  <sheetData>
    <row r="1" spans="1:19" ht="21">
      <c r="A1" s="4" t="s">
        <v>1</v>
      </c>
      <c r="B1" s="4" t="s">
        <v>6</v>
      </c>
      <c r="C1" s="4" t="s">
        <v>7</v>
      </c>
      <c r="D1" s="10" t="s">
        <v>26</v>
      </c>
      <c r="E1" s="4" t="s">
        <v>23</v>
      </c>
      <c r="F1" s="4" t="s">
        <v>24</v>
      </c>
      <c r="G1" s="4" t="s">
        <v>25</v>
      </c>
      <c r="H1" s="4" t="s">
        <v>34</v>
      </c>
      <c r="I1" s="10" t="s">
        <v>35</v>
      </c>
      <c r="J1" s="3"/>
      <c r="K1" s="43" t="s">
        <v>9</v>
      </c>
      <c r="L1" s="43"/>
      <c r="M1" s="43"/>
      <c r="N1" s="43"/>
      <c r="O1" s="3"/>
      <c r="P1" s="4" t="s">
        <v>6</v>
      </c>
      <c r="Q1" s="4" t="s">
        <v>7</v>
      </c>
      <c r="R1" s="10" t="s">
        <v>33</v>
      </c>
      <c r="S1" s="3"/>
    </row>
    <row r="2" spans="1:19" ht="21">
      <c r="A2" s="6">
        <v>1</v>
      </c>
      <c r="B2" s="12">
        <v>-0.51685775017924274</v>
      </c>
      <c r="C2" s="12">
        <v>-0.9416946500252672</v>
      </c>
      <c r="D2" s="19">
        <v>3</v>
      </c>
      <c r="E2" s="3">
        <f>SUMXMY2($B2:$C2,L$3:L$4)</f>
        <v>5.0529774093434385</v>
      </c>
      <c r="F2" s="3">
        <f>SUMXMY2($B2:$C2,M$3:M$4)</f>
        <v>5.2942609591024343</v>
      </c>
      <c r="G2" s="3">
        <f>SUMXMY2($B2:$C2,N$3:N$4)</f>
        <v>0.76805500035803576</v>
      </c>
      <c r="H2" s="3">
        <f>MIN(E2:G2)</f>
        <v>0.76805500035803576</v>
      </c>
      <c r="I2" s="19">
        <f>IF(H2=E2,1,IF(H2=F2,2,3))</f>
        <v>3</v>
      </c>
      <c r="J2" s="3"/>
      <c r="K2" s="16"/>
      <c r="L2" s="17" t="s">
        <v>12</v>
      </c>
      <c r="M2" s="18" t="s">
        <v>13</v>
      </c>
      <c r="N2" s="17" t="s">
        <v>14</v>
      </c>
      <c r="O2" s="3"/>
      <c r="P2" s="12">
        <v>2.198835513474406</v>
      </c>
      <c r="Q2" s="12">
        <v>-1.583759184133404</v>
      </c>
      <c r="R2" s="15">
        <v>1</v>
      </c>
      <c r="S2" s="3"/>
    </row>
    <row r="3" spans="1:19" ht="21">
      <c r="A3" s="6">
        <v>2</v>
      </c>
      <c r="B3" s="12">
        <v>-0.16644571615941706</v>
      </c>
      <c r="C3" s="12">
        <v>0.98449895229914286</v>
      </c>
      <c r="D3" s="21">
        <v>2</v>
      </c>
      <c r="E3" s="3">
        <f t="shared" ref="E3:E21" si="0">SUMXMY2($B3:$C3,L$3:L$4)</f>
        <v>10.140372347666238</v>
      </c>
      <c r="F3" s="3">
        <f t="shared" ref="F3:F21" si="1">SUMXMY2($B3:$C3,M$3:M$4)</f>
        <v>0.3841743681537374</v>
      </c>
      <c r="G3" s="3">
        <f t="shared" ref="G3:G21" si="2">SUMXMY2($B3:$C3,N$3:N$4)</f>
        <v>1.2804283715049127</v>
      </c>
      <c r="H3" s="3">
        <f t="shared" ref="H3:H21" si="3">MIN(E3:G3)</f>
        <v>0.3841743681537374</v>
      </c>
      <c r="I3" s="21">
        <f t="shared" ref="I3:I21" si="4">IF(H3=E3,1,IF(H3=F3,2,3))</f>
        <v>2</v>
      </c>
      <c r="J3" s="3"/>
      <c r="K3" s="16" t="s">
        <v>10</v>
      </c>
      <c r="L3" s="17">
        <f>AVERAGE(P2:P4)</f>
        <v>1.6148154567746966</v>
      </c>
      <c r="M3" s="16">
        <f>AVERAGE(P5:P9)</f>
        <v>0.42925474167428657</v>
      </c>
      <c r="N3" s="16">
        <f>AVERAGE(P10:P21)</f>
        <v>-0.58256000655796003</v>
      </c>
      <c r="O3" s="3"/>
      <c r="P3" s="12">
        <v>1.4980114454347548</v>
      </c>
      <c r="Q3" s="12">
        <v>-1.3697376727640251</v>
      </c>
      <c r="R3" s="15">
        <v>1</v>
      </c>
      <c r="S3" s="3"/>
    </row>
    <row r="4" spans="1:19" ht="21">
      <c r="A4" s="6">
        <v>3</v>
      </c>
      <c r="B4" s="12">
        <v>2.198835513474406</v>
      </c>
      <c r="C4" s="12">
        <v>-1.583759184133404</v>
      </c>
      <c r="D4" s="15">
        <v>1</v>
      </c>
      <c r="E4" s="3">
        <f t="shared" si="0"/>
        <v>0.34616889410851315</v>
      </c>
      <c r="F4" s="3">
        <f t="shared" si="1"/>
        <v>10.636141276680736</v>
      </c>
      <c r="G4" s="3">
        <f t="shared" si="2"/>
        <v>10.034373698236807</v>
      </c>
      <c r="H4" s="3">
        <f t="shared" si="3"/>
        <v>0.34616889410851315</v>
      </c>
      <c r="I4" s="15">
        <f t="shared" si="4"/>
        <v>1</v>
      </c>
      <c r="J4" s="3"/>
      <c r="K4" s="16" t="s">
        <v>11</v>
      </c>
      <c r="L4" s="17">
        <f>AVERAGE(Q2:Q4)</f>
        <v>-1.6550996879231967</v>
      </c>
      <c r="M4" s="16">
        <f>AVERAGE(Q5:Q9)</f>
        <v>1.1557161613946461</v>
      </c>
      <c r="N4" s="16">
        <f>AVERAGE(Q10:Q21)</f>
        <v>-6.7773478600303402E-2</v>
      </c>
      <c r="O4" s="3"/>
      <c r="P4" s="12">
        <v>1.1475994114149293</v>
      </c>
      <c r="Q4" s="12">
        <v>-2.0118022068721619</v>
      </c>
      <c r="R4" s="15">
        <v>1</v>
      </c>
      <c r="S4" s="3"/>
    </row>
    <row r="5" spans="1:19" ht="21">
      <c r="A5" s="6">
        <v>4</v>
      </c>
      <c r="B5" s="12">
        <v>8.7603008504957662E-3</v>
      </c>
      <c r="C5" s="12">
        <v>-0.72767313865588834</v>
      </c>
      <c r="D5" s="19">
        <v>3</v>
      </c>
      <c r="E5" s="3">
        <f t="shared" si="0"/>
        <v>3.4395331681565766</v>
      </c>
      <c r="F5" s="3">
        <f t="shared" si="1"/>
        <v>3.7239708303085544</v>
      </c>
      <c r="G5" s="3">
        <f t="shared" si="2"/>
        <v>0.78512726729510729</v>
      </c>
      <c r="H5" s="3">
        <f t="shared" si="3"/>
        <v>0.78512726729510729</v>
      </c>
      <c r="I5" s="19">
        <f t="shared" si="4"/>
        <v>3</v>
      </c>
      <c r="J5" s="3"/>
      <c r="K5" s="16" t="s">
        <v>15</v>
      </c>
      <c r="L5" s="25">
        <f>COUNTIF($D$2:$D$21,1)/100</f>
        <v>0.03</v>
      </c>
      <c r="M5" s="25">
        <f>COUNTIF($D$2:$D$21,2)/100</f>
        <v>0.05</v>
      </c>
      <c r="N5" s="25">
        <f>COUNTIF($D$2:$D$21,3)/100</f>
        <v>0.12</v>
      </c>
      <c r="O5" s="3"/>
      <c r="P5" s="12">
        <v>-0.16644571615941706</v>
      </c>
      <c r="Q5" s="12">
        <v>0.98449895229914286</v>
      </c>
      <c r="R5" s="21">
        <v>2</v>
      </c>
      <c r="S5" s="3"/>
    </row>
    <row r="6" spans="1:19" ht="21">
      <c r="A6" s="6">
        <v>5</v>
      </c>
      <c r="B6" s="12">
        <v>1.4980114454347548</v>
      </c>
      <c r="C6" s="12">
        <v>-1.3697376727640251</v>
      </c>
      <c r="D6" s="15">
        <v>1</v>
      </c>
      <c r="E6" s="3">
        <f t="shared" si="0"/>
        <v>9.5074656760804524E-2</v>
      </c>
      <c r="F6" s="3">
        <f t="shared" si="1"/>
        <v>7.5201579602996738</v>
      </c>
      <c r="G6" s="3">
        <f t="shared" si="2"/>
        <v>6.0238883297314629</v>
      </c>
      <c r="H6" s="3">
        <f t="shared" si="3"/>
        <v>9.5074656760804524E-2</v>
      </c>
      <c r="I6" s="15">
        <f t="shared" si="4"/>
        <v>1</v>
      </c>
      <c r="J6" s="3"/>
      <c r="K6" s="3"/>
      <c r="L6" s="3"/>
      <c r="M6" s="3"/>
      <c r="N6" s="3"/>
      <c r="O6" s="3"/>
      <c r="P6" s="12">
        <v>0.27156932636536502</v>
      </c>
      <c r="Q6" s="12">
        <v>0.34243441819100617</v>
      </c>
      <c r="R6" s="21">
        <v>2</v>
      </c>
      <c r="S6" s="3"/>
    </row>
    <row r="7" spans="1:19" ht="21">
      <c r="A7" s="6">
        <v>6</v>
      </c>
      <c r="B7" s="12">
        <v>0.27156932636536502</v>
      </c>
      <c r="C7" s="12">
        <v>0.34243441819100617</v>
      </c>
      <c r="D7" s="21">
        <v>2</v>
      </c>
      <c r="E7" s="3">
        <f t="shared" si="0"/>
        <v>5.7944526719491103</v>
      </c>
      <c r="F7" s="3">
        <f t="shared" si="1"/>
        <v>0.68629188402949837</v>
      </c>
      <c r="G7" s="3">
        <f t="shared" si="2"/>
        <v>0.8978074359499939</v>
      </c>
      <c r="H7" s="3">
        <f t="shared" si="3"/>
        <v>0.68629188402949837</v>
      </c>
      <c r="I7" s="21">
        <f t="shared" si="4"/>
        <v>2</v>
      </c>
      <c r="J7" s="3"/>
      <c r="K7" s="3"/>
      <c r="L7" s="3"/>
      <c r="M7" s="3"/>
      <c r="N7" s="3"/>
      <c r="O7" s="3"/>
      <c r="P7" s="12">
        <v>0.79718737739510348</v>
      </c>
      <c r="Q7" s="12">
        <v>1.8405849977766584</v>
      </c>
      <c r="R7" s="21">
        <v>2</v>
      </c>
      <c r="S7" s="3"/>
    </row>
    <row r="8" spans="1:19" ht="21">
      <c r="A8" s="6">
        <v>7</v>
      </c>
      <c r="B8" s="12">
        <v>-2.0937119032684581</v>
      </c>
      <c r="C8" s="12">
        <v>0.770477440929764</v>
      </c>
      <c r="D8" s="19">
        <v>3</v>
      </c>
      <c r="E8" s="3">
        <f t="shared" si="0"/>
        <v>19.636599588203222</v>
      </c>
      <c r="F8" s="3">
        <f t="shared" si="1"/>
        <v>6.5137695632390695</v>
      </c>
      <c r="G8" s="3">
        <f t="shared" si="2"/>
        <v>2.9862446590247398</v>
      </c>
      <c r="H8" s="3">
        <f t="shared" si="3"/>
        <v>2.9862446590247398</v>
      </c>
      <c r="I8" s="19">
        <f t="shared" si="4"/>
        <v>3</v>
      </c>
      <c r="J8" s="3"/>
      <c r="K8" s="3"/>
      <c r="L8" s="3"/>
      <c r="M8" s="3"/>
      <c r="N8" s="3"/>
      <c r="O8" s="3"/>
      <c r="P8" s="12">
        <v>0.97239339440501638</v>
      </c>
      <c r="Q8" s="12">
        <v>0.98449895229914286</v>
      </c>
      <c r="R8" s="21">
        <v>2</v>
      </c>
      <c r="S8" s="3"/>
    </row>
    <row r="9" spans="1:19" ht="21">
      <c r="A9" s="6">
        <v>8</v>
      </c>
      <c r="B9" s="12">
        <v>1.1475994114149293</v>
      </c>
      <c r="C9" s="12">
        <v>-2.0118022068721619</v>
      </c>
      <c r="D9" s="15">
        <v>1</v>
      </c>
      <c r="E9" s="3">
        <f t="shared" si="0"/>
        <v>0.34552752006615706</v>
      </c>
      <c r="F9" s="3">
        <f t="shared" si="1"/>
        <v>10.549191677852415</v>
      </c>
      <c r="G9" s="3">
        <f t="shared" si="2"/>
        <v>6.7726993079465858</v>
      </c>
      <c r="H9" s="3">
        <f t="shared" si="3"/>
        <v>0.34552752006615706</v>
      </c>
      <c r="I9" s="15">
        <f t="shared" si="4"/>
        <v>1</v>
      </c>
      <c r="J9" s="3"/>
      <c r="K9" s="3"/>
      <c r="L9" s="3"/>
      <c r="M9" s="3"/>
      <c r="N9" s="3"/>
      <c r="O9" s="3"/>
      <c r="P9" s="12">
        <v>0.27156932636536502</v>
      </c>
      <c r="Q9" s="12">
        <v>1.6265634864072795</v>
      </c>
      <c r="R9" s="21">
        <v>2</v>
      </c>
      <c r="S9" s="3"/>
    </row>
    <row r="10" spans="1:19" ht="21">
      <c r="A10" s="6">
        <v>9</v>
      </c>
      <c r="B10" s="12">
        <v>-0.69206376718915552</v>
      </c>
      <c r="C10" s="12">
        <v>0.12841290682162726</v>
      </c>
      <c r="D10" s="19">
        <v>3</v>
      </c>
      <c r="E10" s="3">
        <f t="shared" si="0"/>
        <v>8.5026089295694796</v>
      </c>
      <c r="F10" s="3">
        <f t="shared" si="1"/>
        <v>2.3127071751760502</v>
      </c>
      <c r="G10" s="3">
        <f t="shared" si="2"/>
        <v>5.0480171417296493E-2</v>
      </c>
      <c r="H10" s="3">
        <f t="shared" si="3"/>
        <v>5.0480171417296493E-2</v>
      </c>
      <c r="I10" s="19">
        <f t="shared" si="4"/>
        <v>3</v>
      </c>
      <c r="J10" s="3"/>
      <c r="K10" s="3"/>
      <c r="L10" s="3"/>
      <c r="M10" s="3"/>
      <c r="N10" s="3"/>
      <c r="O10" s="3"/>
      <c r="P10" s="12">
        <v>-0.51685775017924274</v>
      </c>
      <c r="Q10" s="12">
        <v>-0.9416946500252672</v>
      </c>
      <c r="R10" s="19">
        <v>3</v>
      </c>
      <c r="S10" s="3"/>
    </row>
    <row r="11" spans="1:19" ht="21">
      <c r="A11" s="6">
        <v>10</v>
      </c>
      <c r="B11" s="12">
        <v>8.7603008504957662E-3</v>
      </c>
      <c r="C11" s="12">
        <v>0.12841290682162726</v>
      </c>
      <c r="D11" s="19">
        <v>3</v>
      </c>
      <c r="E11" s="3">
        <f t="shared" si="0"/>
        <v>5.7603303394841241</v>
      </c>
      <c r="F11" s="3">
        <f t="shared" si="1"/>
        <v>1.2321675516200292</v>
      </c>
      <c r="G11" s="3">
        <f t="shared" si="2"/>
        <v>0.38814880377855293</v>
      </c>
      <c r="H11" s="3">
        <f t="shared" si="3"/>
        <v>0.38814880377855293</v>
      </c>
      <c r="I11" s="19">
        <f t="shared" si="4"/>
        <v>3</v>
      </c>
      <c r="J11" s="3"/>
      <c r="K11" s="3"/>
      <c r="L11" s="3"/>
      <c r="M11" s="3"/>
      <c r="N11" s="3"/>
      <c r="O11" s="3"/>
      <c r="P11" s="12">
        <v>8.7603008504957662E-3</v>
      </c>
      <c r="Q11" s="12">
        <v>-0.72767313865588834</v>
      </c>
      <c r="R11" s="19">
        <v>3</v>
      </c>
      <c r="S11" s="3"/>
    </row>
    <row r="12" spans="1:19" ht="21">
      <c r="A12" s="6">
        <v>11</v>
      </c>
      <c r="B12" s="12">
        <v>0.79718737739510348</v>
      </c>
      <c r="C12" s="12">
        <v>1.8405849977766584</v>
      </c>
      <c r="D12" s="21">
        <v>2</v>
      </c>
      <c r="E12" s="3">
        <f t="shared" si="0"/>
        <v>12.888327098026455</v>
      </c>
      <c r="F12" s="3">
        <f t="shared" si="1"/>
        <v>0.60441974747571892</v>
      </c>
      <c r="G12" s="3">
        <f t="shared" si="2"/>
        <v>5.5455349178851217</v>
      </c>
      <c r="H12" s="3">
        <f t="shared" si="3"/>
        <v>0.60441974747571892</v>
      </c>
      <c r="I12" s="21">
        <f t="shared" si="4"/>
        <v>2</v>
      </c>
      <c r="J12" s="3"/>
      <c r="K12" s="3"/>
      <c r="L12" s="3"/>
      <c r="M12" s="3"/>
      <c r="N12" s="3"/>
      <c r="O12" s="3"/>
      <c r="P12" s="12">
        <v>-2.0937119032684581</v>
      </c>
      <c r="Q12" s="12">
        <v>0.770477440929764</v>
      </c>
      <c r="R12" s="19">
        <v>3</v>
      </c>
      <c r="S12" s="3"/>
    </row>
    <row r="13" spans="1:19" ht="21">
      <c r="A13" s="6">
        <v>12</v>
      </c>
      <c r="B13" s="12">
        <v>-0.2540487246643735</v>
      </c>
      <c r="C13" s="12">
        <v>-0.29963011591713057</v>
      </c>
      <c r="D13" s="19">
        <v>3</v>
      </c>
      <c r="E13" s="3">
        <f t="shared" si="0"/>
        <v>5.3299510893002333</v>
      </c>
      <c r="F13" s="3">
        <f t="shared" si="1"/>
        <v>2.584936413995675</v>
      </c>
      <c r="G13" s="3">
        <f t="shared" si="2"/>
        <v>0.1616771625992342</v>
      </c>
      <c r="H13" s="3">
        <f t="shared" si="3"/>
        <v>0.1616771625992342</v>
      </c>
      <c r="I13" s="19">
        <f t="shared" si="4"/>
        <v>3</v>
      </c>
      <c r="J13" s="3"/>
      <c r="K13" s="3"/>
      <c r="L13" s="3"/>
      <c r="M13" s="3"/>
      <c r="N13" s="3"/>
      <c r="O13" s="3"/>
      <c r="P13" s="12">
        <v>-0.69206376718915552</v>
      </c>
      <c r="Q13" s="12">
        <v>0.12841290682162726</v>
      </c>
      <c r="R13" s="19">
        <v>3</v>
      </c>
      <c r="S13" s="3"/>
    </row>
    <row r="14" spans="1:19" ht="21">
      <c r="A14" s="6">
        <v>13</v>
      </c>
      <c r="B14" s="12">
        <v>-0.2540487246643735</v>
      </c>
      <c r="C14" s="12">
        <v>0.34243441819100617</v>
      </c>
      <c r="D14" s="19">
        <v>3</v>
      </c>
      <c r="E14" s="3">
        <f t="shared" si="0"/>
        <v>7.482795833755393</v>
      </c>
      <c r="F14" s="3">
        <f t="shared" si="1"/>
        <v>1.1283308209387797</v>
      </c>
      <c r="G14" s="3">
        <f t="shared" si="2"/>
        <v>0.2761901809213172</v>
      </c>
      <c r="H14" s="3">
        <f t="shared" si="3"/>
        <v>0.2761901809213172</v>
      </c>
      <c r="I14" s="19">
        <f t="shared" si="4"/>
        <v>3</v>
      </c>
      <c r="J14" s="3"/>
      <c r="K14" s="3"/>
      <c r="L14" s="3"/>
      <c r="M14" s="3"/>
      <c r="N14" s="3"/>
      <c r="O14" s="3"/>
      <c r="P14" s="12">
        <v>8.7603008504957662E-3</v>
      </c>
      <c r="Q14" s="12">
        <v>0.12841290682162726</v>
      </c>
      <c r="R14" s="19">
        <v>3</v>
      </c>
      <c r="S14" s="3"/>
    </row>
    <row r="15" spans="1:19" ht="21">
      <c r="A15" s="6">
        <v>14</v>
      </c>
      <c r="B15" s="12">
        <v>0.97239339440501638</v>
      </c>
      <c r="C15" s="12">
        <v>0.98449895229914286</v>
      </c>
      <c r="D15" s="21">
        <v>2</v>
      </c>
      <c r="E15" s="3">
        <f t="shared" si="0"/>
        <v>7.3801870876829367</v>
      </c>
      <c r="F15" s="3">
        <f t="shared" si="1"/>
        <v>0.32431492878060558</v>
      </c>
      <c r="G15" s="3">
        <f t="shared" si="2"/>
        <v>3.5251573479973568</v>
      </c>
      <c r="H15" s="3">
        <f t="shared" si="3"/>
        <v>0.32431492878060558</v>
      </c>
      <c r="I15" s="21">
        <f t="shared" si="4"/>
        <v>2</v>
      </c>
      <c r="J15" s="3"/>
      <c r="K15" s="3"/>
      <c r="L15" s="3"/>
      <c r="M15" s="3"/>
      <c r="N15" s="3"/>
      <c r="O15" s="3"/>
      <c r="P15" s="12">
        <v>-0.2540487246643735</v>
      </c>
      <c r="Q15" s="12">
        <v>-0.29963011591713057</v>
      </c>
      <c r="R15" s="19">
        <v>3</v>
      </c>
      <c r="S15" s="3"/>
    </row>
    <row r="16" spans="1:19" ht="21">
      <c r="A16" s="6">
        <v>15</v>
      </c>
      <c r="B16" s="12">
        <v>0.27156932636536502</v>
      </c>
      <c r="C16" s="12">
        <v>1.6265634864072795</v>
      </c>
      <c r="D16" s="21">
        <v>2</v>
      </c>
      <c r="E16" s="3">
        <f t="shared" si="0"/>
        <v>12.573623356616421</v>
      </c>
      <c r="F16" s="3">
        <f t="shared" si="1"/>
        <v>0.24656189367269957</v>
      </c>
      <c r="G16" s="3">
        <f t="shared" si="2"/>
        <v>3.6003146683511518</v>
      </c>
      <c r="H16" s="3">
        <f t="shared" si="3"/>
        <v>0.24656189367269957</v>
      </c>
      <c r="I16" s="21">
        <f t="shared" si="4"/>
        <v>2</v>
      </c>
      <c r="J16" s="3"/>
      <c r="K16" s="3"/>
      <c r="L16" s="3"/>
      <c r="M16" s="3"/>
      <c r="N16" s="3"/>
      <c r="O16" s="3"/>
      <c r="P16" s="12">
        <v>-0.2540487246643735</v>
      </c>
      <c r="Q16" s="12">
        <v>0.34243441819100617</v>
      </c>
      <c r="R16" s="19">
        <v>3</v>
      </c>
      <c r="S16" s="3"/>
    </row>
    <row r="17" spans="1:19" ht="21">
      <c r="A17" s="6">
        <v>16</v>
      </c>
      <c r="B17" s="12">
        <v>-0.95487279270402481</v>
      </c>
      <c r="C17" s="12">
        <v>-0.29963011591713057</v>
      </c>
      <c r="D17" s="19">
        <v>3</v>
      </c>
      <c r="E17" s="3">
        <f t="shared" si="0"/>
        <v>8.4405954601433244</v>
      </c>
      <c r="F17" s="3">
        <f t="shared" si="1"/>
        <v>4.0338418183094298</v>
      </c>
      <c r="G17" s="3">
        <f t="shared" si="2"/>
        <v>0.19237431099571212</v>
      </c>
      <c r="H17" s="3">
        <f t="shared" si="3"/>
        <v>0.19237431099571212</v>
      </c>
      <c r="I17" s="19">
        <f t="shared" si="4"/>
        <v>3</v>
      </c>
      <c r="J17" s="3"/>
      <c r="K17" s="3"/>
      <c r="L17" s="3"/>
      <c r="M17" s="3"/>
      <c r="N17" s="3"/>
      <c r="O17" s="3"/>
      <c r="P17" s="12">
        <v>-0.95487279270402481</v>
      </c>
      <c r="Q17" s="12">
        <v>-0.29963011591713057</v>
      </c>
      <c r="R17" s="19">
        <v>3</v>
      </c>
      <c r="S17" s="3"/>
    </row>
    <row r="18" spans="1:19" ht="21">
      <c r="A18" s="6">
        <v>17</v>
      </c>
      <c r="B18" s="12">
        <v>-0.16644571615941706</v>
      </c>
      <c r="C18" s="12">
        <v>0.12841290682162726</v>
      </c>
      <c r="D18" s="19">
        <v>3</v>
      </c>
      <c r="E18" s="3">
        <f t="shared" si="0"/>
        <v>6.3538085418160293</v>
      </c>
      <c r="F18" s="3">
        <f t="shared" si="1"/>
        <v>1.4102110123196008</v>
      </c>
      <c r="G18" s="3">
        <f t="shared" si="2"/>
        <v>0.21164020049880528</v>
      </c>
      <c r="H18" s="3">
        <f t="shared" si="3"/>
        <v>0.21164020049880528</v>
      </c>
      <c r="I18" s="19">
        <f t="shared" si="4"/>
        <v>3</v>
      </c>
      <c r="J18" s="3"/>
      <c r="K18" s="3"/>
      <c r="L18" s="3"/>
      <c r="M18" s="3"/>
      <c r="N18" s="3"/>
      <c r="O18" s="3"/>
      <c r="P18" s="12">
        <v>-0.16644571615941706</v>
      </c>
      <c r="Q18" s="12">
        <v>0.12841290682162726</v>
      </c>
      <c r="R18" s="19">
        <v>3</v>
      </c>
      <c r="S18" s="3"/>
    </row>
    <row r="19" spans="1:19" ht="21">
      <c r="A19" s="6">
        <v>18</v>
      </c>
      <c r="B19" s="12">
        <v>-1.5680938522387198</v>
      </c>
      <c r="C19" s="12">
        <v>0.12841290682162726</v>
      </c>
      <c r="D19" s="19">
        <v>3</v>
      </c>
      <c r="E19" s="3">
        <f t="shared" si="0"/>
        <v>13.311828845017677</v>
      </c>
      <c r="F19" s="3">
        <f t="shared" si="1"/>
        <v>5.0447533824625808</v>
      </c>
      <c r="G19" s="3">
        <f t="shared" si="2"/>
        <v>1.0097660588072299</v>
      </c>
      <c r="H19" s="3">
        <f t="shared" si="3"/>
        <v>1.0097660588072299</v>
      </c>
      <c r="I19" s="19">
        <f t="shared" si="4"/>
        <v>3</v>
      </c>
      <c r="J19" s="3"/>
      <c r="K19" s="3"/>
      <c r="L19" s="3"/>
      <c r="M19" s="3"/>
      <c r="N19" s="3"/>
      <c r="O19" s="3"/>
      <c r="P19" s="12">
        <v>-1.5680938522387198</v>
      </c>
      <c r="Q19" s="12">
        <v>0.12841290682162726</v>
      </c>
      <c r="R19" s="19">
        <v>3</v>
      </c>
      <c r="S19" s="3"/>
    </row>
    <row r="20" spans="1:19" ht="21">
      <c r="A20" s="6">
        <v>19</v>
      </c>
      <c r="B20" s="12">
        <v>-0.42925474167428629</v>
      </c>
      <c r="C20" s="12">
        <v>-0.29963011591713057</v>
      </c>
      <c r="D20" s="19">
        <v>3</v>
      </c>
      <c r="E20" s="3">
        <f t="shared" si="0"/>
        <v>6.0155207368215731</v>
      </c>
      <c r="F20" s="3">
        <f t="shared" si="1"/>
        <v>2.8550713198846802</v>
      </c>
      <c r="G20" s="3">
        <f t="shared" si="2"/>
        <v>7.7260004508920094E-2</v>
      </c>
      <c r="H20" s="3">
        <f t="shared" si="3"/>
        <v>7.7260004508920094E-2</v>
      </c>
      <c r="I20" s="19">
        <f t="shared" si="4"/>
        <v>3</v>
      </c>
      <c r="J20" s="3"/>
      <c r="K20" s="3"/>
      <c r="L20" s="3"/>
      <c r="M20" s="3"/>
      <c r="N20" s="3"/>
      <c r="O20" s="3"/>
      <c r="P20" s="12">
        <v>-0.42925474167428629</v>
      </c>
      <c r="Q20" s="12">
        <v>-0.29963011591713057</v>
      </c>
      <c r="R20" s="19">
        <v>3</v>
      </c>
      <c r="S20" s="3"/>
    </row>
    <row r="21" spans="1:19" ht="21">
      <c r="A21" s="6">
        <v>20</v>
      </c>
      <c r="B21" s="12">
        <v>-7.884270765446065E-2</v>
      </c>
      <c r="C21" s="12">
        <v>0.12841290682162726</v>
      </c>
      <c r="D21" s="19">
        <v>3</v>
      </c>
      <c r="E21" s="3">
        <f t="shared" si="0"/>
        <v>6.0493951535509574</v>
      </c>
      <c r="F21" s="3">
        <f t="shared" si="1"/>
        <v>1.3135149948706955</v>
      </c>
      <c r="G21" s="3">
        <f t="shared" si="2"/>
        <v>0.29222021503955964</v>
      </c>
      <c r="H21" s="3">
        <f t="shared" si="3"/>
        <v>0.29222021503955964</v>
      </c>
      <c r="I21" s="19">
        <f t="shared" si="4"/>
        <v>3</v>
      </c>
      <c r="J21" s="3"/>
      <c r="K21" s="3"/>
      <c r="L21" s="3"/>
      <c r="M21" s="3"/>
      <c r="N21" s="3"/>
      <c r="O21" s="3"/>
      <c r="P21" s="12">
        <v>-7.884270765446065E-2</v>
      </c>
      <c r="Q21" s="12">
        <v>0.12841290682162726</v>
      </c>
      <c r="R21" s="19">
        <v>3</v>
      </c>
      <c r="S21" s="3"/>
    </row>
    <row r="22" spans="1:19" ht="2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2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2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2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2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</sheetData>
  <sortState ref="P2:R21">
    <sortCondition ref="R2"/>
  </sortState>
  <mergeCells count="1">
    <mergeCell ref="K1:N1"/>
  </mergeCells>
  <phoneticPr fontId="4" type="noConversion"/>
  <pageMargins left="0.7" right="0.7" top="0.75" bottom="0.75" header="0.3" footer="0.3"/>
  <pageSetup paperSize="9" scale="40" orientation="landscape" r:id="rId1"/>
  <ignoredErrors>
    <ignoredError sqref="L3:N4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zoomScale="85" zoomScaleNormal="85" workbookViewId="0">
      <selection activeCell="J17" sqref="J17"/>
    </sheetView>
  </sheetViews>
  <sheetFormatPr defaultRowHeight="16.5"/>
  <cols>
    <col min="1" max="1" width="6" style="1" bestFit="1" customWidth="1"/>
    <col min="2" max="3" width="19.875" bestFit="1" customWidth="1"/>
    <col min="4" max="4" width="11.5" bestFit="1" customWidth="1"/>
    <col min="5" max="5" width="15.875" bestFit="1" customWidth="1"/>
    <col min="8" max="8" width="14.5" bestFit="1" customWidth="1"/>
    <col min="9" max="9" width="19.875" bestFit="1" customWidth="1"/>
    <col min="10" max="10" width="18.625" bestFit="1" customWidth="1"/>
    <col min="11" max="11" width="19.875" bestFit="1" customWidth="1"/>
  </cols>
  <sheetData>
    <row r="1" spans="1:20" ht="21">
      <c r="A1" s="4" t="s">
        <v>1</v>
      </c>
      <c r="B1" s="4" t="s">
        <v>6</v>
      </c>
      <c r="C1" s="4" t="s">
        <v>7</v>
      </c>
      <c r="D1" s="26" t="s">
        <v>38</v>
      </c>
      <c r="E1" s="26" t="s">
        <v>39</v>
      </c>
      <c r="F1" s="3" t="s">
        <v>52</v>
      </c>
      <c r="G1" s="3"/>
      <c r="H1" s="44" t="s">
        <v>40</v>
      </c>
      <c r="I1" s="45"/>
      <c r="J1" s="45"/>
      <c r="K1" s="46"/>
      <c r="L1" s="3"/>
      <c r="M1" s="3"/>
    </row>
    <row r="2" spans="1:20" ht="21">
      <c r="A2" s="27">
        <v>1</v>
      </c>
      <c r="B2" s="12">
        <v>-0.51685775017924274</v>
      </c>
      <c r="C2" s="12">
        <v>-0.9416946500252672</v>
      </c>
      <c r="D2" s="28">
        <f>B2*'1.變數-採用標準正規化變換'!B$24+'1.變數-採用標準正規化變換'!B$23</f>
        <v>40</v>
      </c>
      <c r="E2" s="28">
        <f>C2*'1.變數-採用標準正規化變換'!C$24+'1.變數-採用標準正規化變換'!C$23</f>
        <v>5</v>
      </c>
      <c r="F2" s="3">
        <v>3</v>
      </c>
      <c r="G2" s="3"/>
      <c r="H2" s="16"/>
      <c r="I2" s="16" t="s">
        <v>41</v>
      </c>
      <c r="J2" s="16" t="s">
        <v>42</v>
      </c>
      <c r="K2" s="16" t="s">
        <v>43</v>
      </c>
      <c r="L2" s="3"/>
      <c r="M2" s="3"/>
    </row>
    <row r="3" spans="1:20" ht="21">
      <c r="A3" s="27">
        <v>2</v>
      </c>
      <c r="B3" s="12">
        <v>-0.16644571615941706</v>
      </c>
      <c r="C3" s="12">
        <v>0.98449895229914286</v>
      </c>
      <c r="D3" s="28">
        <f>B3*'1.變數-採用標準正規化變換'!B$24+'1.變數-採用標準正規化變換'!B$23</f>
        <v>44</v>
      </c>
      <c r="E3" s="28">
        <f>C3*'1.變數-採用標準正規化變換'!C$24+'1.變數-採用標準正規化變換'!C$23</f>
        <v>14</v>
      </c>
      <c r="F3" s="3">
        <v>2</v>
      </c>
      <c r="G3" s="3"/>
      <c r="H3" s="16" t="s">
        <v>36</v>
      </c>
      <c r="I3" s="16">
        <v>1.6148154567746966</v>
      </c>
      <c r="J3" s="16">
        <v>0.42925474167428657</v>
      </c>
      <c r="K3" s="16">
        <v>-0.58256000655796003</v>
      </c>
      <c r="L3" s="3"/>
      <c r="M3" s="3"/>
    </row>
    <row r="4" spans="1:20" ht="21">
      <c r="A4" s="27">
        <v>3</v>
      </c>
      <c r="B4" s="12">
        <v>2.198835513474406</v>
      </c>
      <c r="C4" s="12">
        <v>-1.583759184133404</v>
      </c>
      <c r="D4" s="28">
        <f>B4*'1.變數-採用標準正規化變換'!B$24+'1.變數-採用標準正規化變換'!B$23</f>
        <v>71</v>
      </c>
      <c r="E4" s="28">
        <f>C4*'1.變數-採用標準正規化變換'!C$24+'1.變數-採用標準正規化變換'!C$23</f>
        <v>2</v>
      </c>
      <c r="F4" s="3">
        <v>1</v>
      </c>
      <c r="G4" s="3"/>
      <c r="H4" s="16" t="s">
        <v>37</v>
      </c>
      <c r="I4" s="16">
        <v>-1.6550996879231967</v>
      </c>
      <c r="J4" s="16">
        <v>1.1557161613946461</v>
      </c>
      <c r="K4" s="16">
        <v>-6.7773478600303402E-2</v>
      </c>
      <c r="L4" s="3"/>
      <c r="M4" s="3"/>
    </row>
    <row r="5" spans="1:20" ht="21">
      <c r="A5" s="27">
        <v>4</v>
      </c>
      <c r="B5" s="12">
        <v>8.7603008504957662E-3</v>
      </c>
      <c r="C5" s="12">
        <v>-0.72767313865588834</v>
      </c>
      <c r="D5" s="28">
        <f>B5*'1.變數-採用標準正規化變換'!B$24+'1.變數-採用標準正規化變換'!B$23</f>
        <v>46</v>
      </c>
      <c r="E5" s="28">
        <f>C5*'1.變數-採用標準正規化變換'!C$24+'1.變數-採用標準正規化變換'!C$23</f>
        <v>6</v>
      </c>
      <c r="F5" s="3">
        <v>3</v>
      </c>
      <c r="G5" s="3"/>
      <c r="H5" s="16" t="s">
        <v>44</v>
      </c>
      <c r="I5" s="20">
        <v>0.03</v>
      </c>
      <c r="J5" s="20">
        <v>0.05</v>
      </c>
      <c r="K5" s="20">
        <v>0.12</v>
      </c>
      <c r="L5" s="3"/>
      <c r="M5" s="3"/>
    </row>
    <row r="6" spans="1:20" ht="21">
      <c r="A6" s="27">
        <v>5</v>
      </c>
      <c r="B6" s="12">
        <v>1.4980114454347548</v>
      </c>
      <c r="C6" s="12">
        <v>-1.3697376727640251</v>
      </c>
      <c r="D6" s="28">
        <f>B6*'1.變數-採用標準正規化變換'!B$24+'1.變數-採用標準正規化變換'!B$23</f>
        <v>63</v>
      </c>
      <c r="E6" s="28">
        <f>C6*'1.變數-採用標準正規化變換'!C$24+'1.變數-採用標準正規化變換'!C$23</f>
        <v>3</v>
      </c>
      <c r="F6" s="3">
        <v>1</v>
      </c>
      <c r="G6" s="3"/>
      <c r="H6" s="3"/>
      <c r="I6" s="3"/>
      <c r="J6" s="3"/>
      <c r="K6" s="3"/>
      <c r="L6" s="3"/>
      <c r="M6" s="3"/>
    </row>
    <row r="7" spans="1:20" ht="21">
      <c r="A7" s="27">
        <v>6</v>
      </c>
      <c r="B7" s="12">
        <v>0.27156932636536502</v>
      </c>
      <c r="C7" s="12">
        <v>0.34243441819100617</v>
      </c>
      <c r="D7" s="28">
        <f>B7*'1.變數-採用標準正規化變換'!B$24+'1.變數-採用標準正規化變換'!B$23</f>
        <v>49</v>
      </c>
      <c r="E7" s="28">
        <f>C7*'1.變數-採用標準正規化變換'!C$24+'1.變數-採用標準正規化變換'!C$23</f>
        <v>11</v>
      </c>
      <c r="F7" s="3">
        <v>2</v>
      </c>
      <c r="G7" s="3"/>
      <c r="H7" s="47" t="s">
        <v>45</v>
      </c>
      <c r="I7" s="47"/>
      <c r="J7" s="47"/>
      <c r="K7" s="47"/>
      <c r="L7" s="3"/>
      <c r="M7" s="3"/>
    </row>
    <row r="8" spans="1:20" ht="21">
      <c r="A8" s="27">
        <v>7</v>
      </c>
      <c r="B8" s="12">
        <v>-2.0937119032684581</v>
      </c>
      <c r="C8" s="12">
        <v>0.770477440929764</v>
      </c>
      <c r="D8" s="28">
        <f>B8*'1.變數-採用標準正規化變換'!B$24+'1.變數-採用標準正規化變換'!B$23</f>
        <v>22</v>
      </c>
      <c r="E8" s="28">
        <f>C8*'1.變數-採用標準正規化變換'!C$24+'1.變數-採用標準正規化變換'!C$23</f>
        <v>13</v>
      </c>
      <c r="F8" s="3">
        <v>3</v>
      </c>
      <c r="G8" s="3"/>
      <c r="H8" s="29"/>
      <c r="I8" s="30" t="s">
        <v>12</v>
      </c>
      <c r="J8" s="30" t="s">
        <v>13</v>
      </c>
      <c r="K8" s="31" t="s">
        <v>46</v>
      </c>
      <c r="L8" s="3"/>
      <c r="M8" s="3"/>
    </row>
    <row r="9" spans="1:20" ht="21">
      <c r="A9" s="27">
        <v>8</v>
      </c>
      <c r="B9" s="12">
        <v>1.1475994114149293</v>
      </c>
      <c r="C9" s="12">
        <v>-2.0118022068721619</v>
      </c>
      <c r="D9" s="28">
        <f>B9*'1.變數-採用標準正規化變換'!B$24+'1.變數-採用標準正規化變換'!B$23</f>
        <v>59</v>
      </c>
      <c r="E9" s="28">
        <f>C9*'1.變數-採用標準正規化變換'!C$24+'1.變數-採用標準正規化變換'!C$23</f>
        <v>0</v>
      </c>
      <c r="F9" s="3">
        <v>1</v>
      </c>
      <c r="G9" s="3"/>
      <c r="H9" s="32" t="s">
        <v>47</v>
      </c>
      <c r="I9" s="33">
        <f>I3*'1.變數-採用標準正規化變換'!B24+'1.變數-採用標準正規化變換'!B23</f>
        <v>64.333333333333329</v>
      </c>
      <c r="J9" s="33">
        <f>J3*'1.變數-採用標準正規化變換'!B24+'1.變數-採用標準正規化變換'!B23</f>
        <v>50.8</v>
      </c>
      <c r="K9" s="34">
        <f>K3*'1.變數-採用標準正規化變換'!B24+'1.變數-採用標準正規化變換'!B23</f>
        <v>39.25</v>
      </c>
      <c r="L9" s="3"/>
      <c r="M9" s="3"/>
    </row>
    <row r="10" spans="1:20" ht="21">
      <c r="A10" s="27">
        <v>9</v>
      </c>
      <c r="B10" s="12">
        <v>-0.69206376718915552</v>
      </c>
      <c r="C10" s="12">
        <v>0.12841290682162726</v>
      </c>
      <c r="D10" s="28">
        <f>B10*'1.變數-採用標準正規化變換'!B$24+'1.變數-採用標準正規化變換'!B$23</f>
        <v>38</v>
      </c>
      <c r="E10" s="28">
        <f>C10*'1.變數-採用標準正規化變換'!C$24+'1.變數-採用標準正規化變換'!C$23</f>
        <v>10</v>
      </c>
      <c r="F10" s="3">
        <v>3</v>
      </c>
      <c r="G10" s="3"/>
      <c r="H10" s="32" t="s">
        <v>48</v>
      </c>
      <c r="I10" s="33">
        <f>I4*'1.變數-採用標準正規化變換'!C24+'6.分析-4個Outcome'!I14</f>
        <v>-7.7333333333333325</v>
      </c>
      <c r="J10" s="33">
        <f>J4*'1.變數-採用標準正規化變換'!C24+'1.變數-採用標準正規化變換'!C23</f>
        <v>14.8</v>
      </c>
      <c r="K10" s="34">
        <f>K4*'1.變數-採用標準正規化變換'!C24+'1.變數-採用標準正規化變換'!C23</f>
        <v>9.0833333333333339</v>
      </c>
      <c r="L10" s="3"/>
      <c r="M10" s="3"/>
      <c r="T10" s="2"/>
    </row>
    <row r="11" spans="1:20" ht="21">
      <c r="A11" s="27">
        <v>10</v>
      </c>
      <c r="B11" s="12">
        <v>8.7603008504957662E-3</v>
      </c>
      <c r="C11" s="12">
        <v>0.12841290682162726</v>
      </c>
      <c r="D11" s="28">
        <f>B11*'1.變數-採用標準正規化變換'!B$24+'1.變數-採用標準正規化變換'!B$23</f>
        <v>46</v>
      </c>
      <c r="E11" s="28">
        <f>C11*'1.變數-採用標準正規化變換'!C$24+'1.變數-採用標準正規化變換'!C$23</f>
        <v>10</v>
      </c>
      <c r="F11" s="3">
        <v>3</v>
      </c>
      <c r="G11" s="3"/>
      <c r="H11" s="3"/>
      <c r="I11" s="3"/>
      <c r="J11" s="3"/>
      <c r="K11" s="3"/>
      <c r="L11" s="3"/>
      <c r="M11" s="3"/>
    </row>
    <row r="12" spans="1:20" ht="21">
      <c r="A12" s="27">
        <v>11</v>
      </c>
      <c r="B12" s="12">
        <v>0.79718737739510348</v>
      </c>
      <c r="C12" s="12">
        <v>1.8405849977766584</v>
      </c>
      <c r="D12" s="28">
        <f>B12*'1.變數-採用標準正規化變換'!B$24+'1.變數-採用標準正規化變換'!B$23</f>
        <v>55</v>
      </c>
      <c r="E12" s="28">
        <f>C12*'1.變數-採用標準正規化變換'!C$24+'1.變數-採用標準正規化變換'!C$23</f>
        <v>18</v>
      </c>
      <c r="F12" s="3">
        <v>2</v>
      </c>
      <c r="G12" s="3"/>
      <c r="H12" s="3"/>
      <c r="I12" s="3"/>
      <c r="J12" s="3"/>
      <c r="K12" s="3"/>
      <c r="L12" s="3"/>
      <c r="M12" s="3"/>
    </row>
    <row r="13" spans="1:20" ht="21">
      <c r="A13" s="27">
        <v>12</v>
      </c>
      <c r="B13" s="12">
        <v>-0.2540487246643735</v>
      </c>
      <c r="C13" s="12">
        <v>-0.29963011591713057</v>
      </c>
      <c r="D13" s="28">
        <f>B13*'1.變數-採用標準正規化變換'!B$24+'1.變數-採用標準正規化變換'!B$23</f>
        <v>43</v>
      </c>
      <c r="E13" s="28">
        <f>C13*'1.變數-採用標準正規化變換'!C$24+'1.變數-採用標準正規化變換'!C$23</f>
        <v>8</v>
      </c>
      <c r="F13" s="3">
        <v>3</v>
      </c>
      <c r="G13" s="3"/>
      <c r="H13" s="3"/>
      <c r="I13" s="3"/>
      <c r="J13" s="3"/>
      <c r="K13" s="3"/>
      <c r="L13" s="3"/>
      <c r="M13" s="3"/>
    </row>
    <row r="14" spans="1:20" ht="21">
      <c r="A14" s="27">
        <v>13</v>
      </c>
      <c r="B14" s="12">
        <v>-0.2540487246643735</v>
      </c>
      <c r="C14" s="12">
        <v>0.34243441819100617</v>
      </c>
      <c r="D14" s="28">
        <f>B14*'1.變數-採用標準正規化變換'!B$24+'1.變數-採用標準正規化變換'!B$23</f>
        <v>43</v>
      </c>
      <c r="E14" s="28">
        <f>C14*'1.變數-採用標準正規化變換'!C$24+'1.變數-採用標準正規化變換'!C$23</f>
        <v>11</v>
      </c>
      <c r="F14" s="3">
        <v>3</v>
      </c>
      <c r="G14" s="3"/>
      <c r="H14" s="3"/>
      <c r="I14" s="3"/>
      <c r="J14" s="3"/>
      <c r="K14" s="3"/>
      <c r="L14" s="3"/>
      <c r="M14" s="3"/>
    </row>
    <row r="15" spans="1:20" ht="21">
      <c r="A15" s="27">
        <v>14</v>
      </c>
      <c r="B15" s="12">
        <v>0.97239339440501638</v>
      </c>
      <c r="C15" s="12">
        <v>0.98449895229914286</v>
      </c>
      <c r="D15" s="28">
        <f>B15*'1.變數-採用標準正規化變換'!B$24+'1.變數-採用標準正規化變換'!B$23</f>
        <v>57</v>
      </c>
      <c r="E15" s="28">
        <f>C15*'1.變數-採用標準正規化變換'!C$24+'1.變數-採用標準正規化變換'!C$23</f>
        <v>14</v>
      </c>
      <c r="F15" s="3">
        <v>2</v>
      </c>
      <c r="G15" s="3"/>
      <c r="H15" s="3"/>
      <c r="I15" s="3"/>
      <c r="J15" s="3"/>
      <c r="K15" s="3"/>
      <c r="L15" s="3"/>
      <c r="M15" s="3"/>
    </row>
    <row r="16" spans="1:20" ht="21">
      <c r="A16" s="27">
        <v>15</v>
      </c>
      <c r="B16" s="12">
        <v>0.27156932636536502</v>
      </c>
      <c r="C16" s="12">
        <v>1.6265634864072795</v>
      </c>
      <c r="D16" s="28">
        <f>B16*'1.變數-採用標準正規化變換'!B$24+'1.變數-採用標準正規化變換'!B$23</f>
        <v>49</v>
      </c>
      <c r="E16" s="28">
        <f>C16*'1.變數-採用標準正規化變換'!C$24+'1.變數-採用標準正規化變換'!C$23</f>
        <v>17</v>
      </c>
      <c r="F16" s="3">
        <v>2</v>
      </c>
      <c r="G16" s="3"/>
      <c r="H16" s="3"/>
      <c r="I16" s="3"/>
      <c r="J16" s="3"/>
      <c r="K16" s="3"/>
      <c r="L16" s="3"/>
      <c r="M16" s="3"/>
    </row>
    <row r="17" spans="1:13" ht="21">
      <c r="A17" s="27">
        <v>16</v>
      </c>
      <c r="B17" s="12">
        <v>-0.95487279270402481</v>
      </c>
      <c r="C17" s="12">
        <v>-0.29963011591713057</v>
      </c>
      <c r="D17" s="28">
        <f>B17*'1.變數-採用標準正規化變換'!B$24+'1.變數-採用標準正規化變換'!B$23</f>
        <v>35</v>
      </c>
      <c r="E17" s="28">
        <f>C17*'1.變數-採用標準正規化變換'!C$24+'1.變數-採用標準正規化變換'!C$23</f>
        <v>8</v>
      </c>
      <c r="F17" s="3">
        <v>3</v>
      </c>
      <c r="G17" s="3"/>
      <c r="H17" s="3"/>
      <c r="I17" s="3"/>
      <c r="J17" s="3"/>
      <c r="K17" s="3"/>
      <c r="L17" s="3"/>
      <c r="M17" s="3"/>
    </row>
    <row r="18" spans="1:13" ht="21">
      <c r="A18" s="27">
        <v>17</v>
      </c>
      <c r="B18" s="12">
        <v>-0.16644571615941706</v>
      </c>
      <c r="C18" s="12">
        <v>0.12841290682162726</v>
      </c>
      <c r="D18" s="28">
        <f>B18*'1.變數-採用標準正規化變換'!B$24+'1.變數-採用標準正規化變換'!B$23</f>
        <v>44</v>
      </c>
      <c r="E18" s="28">
        <f>C18*'1.變數-採用標準正規化變換'!C$24+'1.變數-採用標準正規化變換'!C$23</f>
        <v>10</v>
      </c>
      <c r="F18" s="3">
        <v>3</v>
      </c>
      <c r="G18" s="3"/>
      <c r="H18" s="3"/>
      <c r="I18" s="3"/>
      <c r="J18" s="3"/>
      <c r="K18" s="3"/>
      <c r="L18" s="3"/>
      <c r="M18" s="3"/>
    </row>
    <row r="19" spans="1:13" ht="21">
      <c r="A19" s="27">
        <v>18</v>
      </c>
      <c r="B19" s="12">
        <v>-1.5680938522387198</v>
      </c>
      <c r="C19" s="12">
        <v>0.12841290682162726</v>
      </c>
      <c r="D19" s="28">
        <f>B19*'1.變數-採用標準正規化變換'!B$24+'1.變數-採用標準正規化變換'!B$23</f>
        <v>28</v>
      </c>
      <c r="E19" s="28">
        <f>C19*'1.變數-採用標準正規化變換'!C$24+'1.變數-採用標準正規化變換'!C$23</f>
        <v>10</v>
      </c>
      <c r="F19" s="3">
        <v>3</v>
      </c>
      <c r="G19" s="3"/>
      <c r="H19" s="3"/>
      <c r="I19" s="3"/>
      <c r="J19" s="3"/>
      <c r="K19" s="3"/>
      <c r="L19" s="3"/>
      <c r="M19" s="3"/>
    </row>
    <row r="20" spans="1:13" ht="21">
      <c r="A20" s="27">
        <v>19</v>
      </c>
      <c r="B20" s="12">
        <v>-0.42925474167428629</v>
      </c>
      <c r="C20" s="12">
        <v>-0.29963011591713057</v>
      </c>
      <c r="D20" s="28">
        <f>B20*'1.變數-採用標準正規化變換'!B$24+'1.變數-採用標準正規化變換'!B$23</f>
        <v>41</v>
      </c>
      <c r="E20" s="28">
        <f>C20*'1.變數-採用標準正規化變換'!C$24+'1.變數-採用標準正規化變換'!C$23</f>
        <v>8</v>
      </c>
      <c r="F20" s="3">
        <v>3</v>
      </c>
      <c r="G20" s="3"/>
      <c r="H20" s="3"/>
      <c r="I20" s="3"/>
      <c r="J20" s="3"/>
      <c r="K20" s="3"/>
      <c r="L20" s="3"/>
      <c r="M20" s="3"/>
    </row>
    <row r="21" spans="1:13" ht="21">
      <c r="A21" s="27">
        <v>20</v>
      </c>
      <c r="B21" s="12">
        <v>-7.884270765446065E-2</v>
      </c>
      <c r="C21" s="12">
        <v>0.12841290682162726</v>
      </c>
      <c r="D21" s="28">
        <f>B21*'1.變數-採用標準正規化變換'!B$24+'1.變數-採用標準正規化變換'!B$23</f>
        <v>45</v>
      </c>
      <c r="E21" s="28">
        <f>C21*'1.變數-採用標準正規化變換'!C$24+'1.變數-採用標準正規化變換'!C$23</f>
        <v>10</v>
      </c>
      <c r="F21" s="3">
        <v>3</v>
      </c>
      <c r="G21" s="3"/>
      <c r="H21" s="3"/>
      <c r="I21" s="3"/>
      <c r="J21" s="3"/>
      <c r="K21" s="3"/>
      <c r="L21" s="3"/>
      <c r="M21" s="3"/>
    </row>
    <row r="22" spans="1:13" ht="21">
      <c r="A22" s="2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</sheetData>
  <mergeCells count="2">
    <mergeCell ref="H1:K1"/>
    <mergeCell ref="H7:K7"/>
  </mergeCells>
  <phoneticPr fontId="4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0.題目</vt:lpstr>
      <vt:lpstr>1.變數-採用標準正規化變換</vt:lpstr>
      <vt:lpstr>2.第1次聚類</vt:lpstr>
      <vt:lpstr>3.第2次聚類</vt:lpstr>
      <vt:lpstr>4.第3次聚類</vt:lpstr>
      <vt:lpstr>5.第4次聚類-Bingo</vt:lpstr>
      <vt:lpstr>6.分析-4個Outcome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2021-10-14T09:56:49Z</cp:lastPrinted>
  <dcterms:created xsi:type="dcterms:W3CDTF">2021-10-01T08:13:38Z</dcterms:created>
  <dcterms:modified xsi:type="dcterms:W3CDTF">2024-10-16T08:33:38Z</dcterms:modified>
</cp:coreProperties>
</file>