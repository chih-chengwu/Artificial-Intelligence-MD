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慈科大資管系_吳志成\001.慈科大_科管系吳志成_教學\110上資料探勘DataMining\五南_葉怡成\期末考題區\"/>
    </mc:Choice>
  </mc:AlternateContent>
  <bookViews>
    <workbookView xWindow="0" yWindow="0" windowWidth="23040" windowHeight="907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8" i="1" l="1"/>
  <c r="G17" i="1"/>
  <c r="F18" i="1"/>
  <c r="F17" i="1"/>
  <c r="H16" i="1"/>
  <c r="G16" i="1"/>
  <c r="K23" i="1" s="1"/>
  <c r="F16" i="1"/>
  <c r="J21" i="1" s="1"/>
  <c r="H15" i="1"/>
  <c r="G15" i="1"/>
  <c r="F15" i="1"/>
  <c r="G6" i="1"/>
  <c r="F6" i="1"/>
  <c r="G5" i="1"/>
  <c r="F5" i="1"/>
  <c r="G4" i="1"/>
  <c r="H4" i="1"/>
  <c r="F4" i="1"/>
  <c r="G3" i="1"/>
  <c r="H3" i="1"/>
  <c r="F3" i="1"/>
  <c r="J16" i="1" l="1"/>
  <c r="K18" i="1"/>
  <c r="J3" i="1"/>
  <c r="K11" i="1"/>
  <c r="K9" i="1"/>
  <c r="J20" i="1"/>
  <c r="K22" i="1"/>
  <c r="J19" i="1"/>
  <c r="K21" i="1"/>
  <c r="J18" i="1"/>
  <c r="K20" i="1"/>
  <c r="J15" i="1"/>
  <c r="J17" i="1"/>
  <c r="K19" i="1"/>
  <c r="J24" i="1"/>
  <c r="J23" i="1"/>
  <c r="K15" i="1"/>
  <c r="K17" i="1"/>
  <c r="J22" i="1"/>
  <c r="K24" i="1"/>
  <c r="K16" i="1"/>
  <c r="J12" i="1"/>
  <c r="K10" i="1"/>
  <c r="J11" i="1"/>
  <c r="J10" i="1"/>
  <c r="K8" i="1"/>
  <c r="J9" i="1"/>
  <c r="K7" i="1"/>
  <c r="J8" i="1"/>
  <c r="K6" i="1"/>
  <c r="J7" i="1"/>
  <c r="K5" i="1"/>
  <c r="J6" i="1"/>
  <c r="K4" i="1"/>
  <c r="J5" i="1"/>
  <c r="J4" i="1"/>
  <c r="K3" i="1"/>
  <c r="S3" i="1" s="1"/>
  <c r="K12" i="1"/>
  <c r="U10" i="1" l="1"/>
  <c r="R10" i="1"/>
  <c r="S10" i="1"/>
  <c r="T10" i="1"/>
  <c r="R8" i="1"/>
  <c r="S8" i="1"/>
  <c r="T8" i="1"/>
  <c r="U8" i="1"/>
  <c r="R4" i="1"/>
  <c r="S4" i="1"/>
  <c r="T4" i="1"/>
  <c r="U4" i="1"/>
  <c r="T11" i="1"/>
  <c r="S11" i="1"/>
  <c r="U11" i="1"/>
  <c r="R11" i="1"/>
  <c r="U9" i="1"/>
  <c r="T9" i="1"/>
  <c r="R9" i="1"/>
  <c r="S9" i="1"/>
  <c r="R5" i="1"/>
  <c r="S5" i="1"/>
  <c r="T5" i="1"/>
  <c r="U5" i="1"/>
  <c r="T12" i="1"/>
  <c r="U12" i="1"/>
  <c r="R12" i="1"/>
  <c r="S12" i="1"/>
  <c r="R6" i="1"/>
  <c r="S6" i="1"/>
  <c r="T6" i="1"/>
  <c r="U6" i="1"/>
  <c r="U3" i="1"/>
  <c r="R3" i="1"/>
  <c r="Z3" i="1" s="1"/>
  <c r="R7" i="1"/>
  <c r="S7" i="1"/>
  <c r="T7" i="1"/>
  <c r="U7" i="1"/>
  <c r="T3" i="1"/>
  <c r="AB3" i="1" l="1"/>
  <c r="Z4" i="1"/>
  <c r="AB4" i="1" s="1"/>
  <c r="Z9" i="1"/>
  <c r="AB9" i="1" s="1"/>
  <c r="Z7" i="1"/>
  <c r="AB7" i="1" s="1"/>
  <c r="Z6" i="1"/>
  <c r="AB6" i="1" s="1"/>
  <c r="Z8" i="1"/>
  <c r="AB8" i="1" s="1"/>
  <c r="Z11" i="1"/>
  <c r="AB11" i="1" s="1"/>
  <c r="Z10" i="1"/>
  <c r="AB10" i="1" s="1"/>
  <c r="Z5" i="1"/>
  <c r="AB5" i="1" s="1"/>
  <c r="Z12" i="1"/>
  <c r="AB12" i="1" s="1"/>
  <c r="AD3" i="1" l="1"/>
  <c r="AF3" i="1"/>
</calcChain>
</file>

<file path=xl/sharedStrings.xml><?xml version="1.0" encoding="utf-8"?>
<sst xmlns="http://schemas.openxmlformats.org/spreadsheetml/2006/main" count="80" uniqueCount="41">
  <si>
    <t>Age</t>
    <phoneticPr fontId="5" type="noConversion"/>
  </si>
  <si>
    <t>Income</t>
    <phoneticPr fontId="5" type="noConversion"/>
  </si>
  <si>
    <t>Y</t>
    <phoneticPr fontId="5" type="noConversion"/>
  </si>
  <si>
    <t>average</t>
    <phoneticPr fontId="4" type="noConversion"/>
  </si>
  <si>
    <t>Age</t>
    <phoneticPr fontId="4" type="noConversion"/>
  </si>
  <si>
    <t>Income</t>
    <phoneticPr fontId="4" type="noConversion"/>
  </si>
  <si>
    <t>Y</t>
    <phoneticPr fontId="4" type="noConversion"/>
  </si>
  <si>
    <t>min</t>
    <phoneticPr fontId="4" type="noConversion"/>
  </si>
  <si>
    <t>max</t>
    <phoneticPr fontId="4" type="noConversion"/>
  </si>
  <si>
    <t>stdev</t>
    <phoneticPr fontId="4" type="noConversion"/>
  </si>
  <si>
    <t>H1</t>
  </si>
  <si>
    <t>H2</t>
  </si>
  <si>
    <t>H3</t>
  </si>
  <si>
    <t>H4</t>
  </si>
  <si>
    <t>H1</t>
    <phoneticPr fontId="5" type="noConversion"/>
  </si>
  <si>
    <t>H3</t>
    <phoneticPr fontId="5" type="noConversion"/>
  </si>
  <si>
    <t>H4</t>
    <phoneticPr fontId="5" type="noConversion"/>
  </si>
  <si>
    <t>Theta</t>
    <phoneticPr fontId="5" type="noConversion"/>
  </si>
  <si>
    <t>樣本</t>
    <phoneticPr fontId="4" type="noConversion"/>
  </si>
  <si>
    <t>平均值/標準差</t>
    <phoneticPr fontId="4" type="noConversion"/>
  </si>
  <si>
    <t>資料正規化</t>
    <phoneticPr fontId="4" type="noConversion"/>
  </si>
  <si>
    <t>權重</t>
    <phoneticPr fontId="4" type="noConversion"/>
  </si>
  <si>
    <t>H1</t>
    <phoneticPr fontId="5" type="noConversion"/>
  </si>
  <si>
    <t>(萃)取出每一樣本, 4個角度的特徵值</t>
    <phoneticPr fontId="4" type="noConversion"/>
  </si>
  <si>
    <t>萃取係數</t>
    <phoneticPr fontId="4" type="noConversion"/>
  </si>
  <si>
    <t>Outcome</t>
    <phoneticPr fontId="4" type="noConversion"/>
  </si>
  <si>
    <t>訓練誤判率</t>
    <phoneticPr fontId="4" type="noConversion"/>
  </si>
  <si>
    <t>測試誤判率</t>
    <phoneticPr fontId="4" type="noConversion"/>
  </si>
  <si>
    <t>誤判值</t>
    <phoneticPr fontId="4" type="noConversion"/>
  </si>
  <si>
    <t>誤判值</t>
    <phoneticPr fontId="4" type="noConversion"/>
  </si>
  <si>
    <t>H1</t>
    <phoneticPr fontId="5" type="noConversion"/>
  </si>
  <si>
    <t>Theta</t>
    <phoneticPr fontId="5" type="noConversion"/>
  </si>
  <si>
    <t>訓練誤差平方和</t>
  </si>
  <si>
    <t>測試誤差平方和</t>
  </si>
  <si>
    <t>參加否</t>
  </si>
  <si>
    <t>參加否</t>
    <phoneticPr fontId="5" type="noConversion"/>
  </si>
  <si>
    <t>參加否</t>
    <phoneticPr fontId="4" type="noConversion"/>
  </si>
  <si>
    <t>Theta-1</t>
    <phoneticPr fontId="4" type="noConversion"/>
  </si>
  <si>
    <t>Theta-2</t>
    <phoneticPr fontId="4" type="noConversion"/>
  </si>
  <si>
    <t>Theta-3</t>
    <phoneticPr fontId="4" type="noConversion"/>
  </si>
  <si>
    <t>Theta-4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</si>
</sst>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2"/>
      <color theme="1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color rgb="FF00B0F0"/>
      <name val="新細明體"/>
      <family val="2"/>
      <charset val="136"/>
      <scheme val="minor"/>
    </font>
    <font>
      <sz val="12"/>
      <color rgb="FFC00000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rgb="FFC00000"/>
      <name val="新細明體"/>
      <family val="1"/>
      <charset val="136"/>
    </font>
    <font>
      <sz val="12"/>
      <color rgb="FFC00000"/>
      <name val="新細明體"/>
      <family val="1"/>
      <charset val="136"/>
      <scheme val="minor"/>
    </font>
    <font>
      <sz val="12"/>
      <color rgb="FF00B0F0"/>
      <name val="新細明體"/>
      <family val="1"/>
      <charset val="136"/>
      <scheme val="minor"/>
    </font>
    <font>
      <sz val="12"/>
      <color rgb="FF00B050"/>
      <name val="新細明體"/>
      <family val="2"/>
      <charset val="136"/>
      <scheme val="minor"/>
    </font>
    <font>
      <sz val="12"/>
      <color theme="0"/>
      <name val="新細明體"/>
      <family val="1"/>
      <charset val="136"/>
      <scheme val="minor"/>
    </font>
    <font>
      <sz val="12"/>
      <color rgb="FFFF00FF"/>
      <name val="新細明體"/>
      <family val="2"/>
      <charset val="136"/>
      <scheme val="minor"/>
    </font>
    <font>
      <sz val="12"/>
      <color theme="5" tint="-0.249977111117893"/>
      <name val="新細明體"/>
      <family val="2"/>
      <charset val="136"/>
      <scheme val="minor"/>
    </font>
    <font>
      <sz val="12"/>
      <color rgb="FFFF0000"/>
      <name val="新細明體"/>
      <family val="2"/>
      <charset val="136"/>
    </font>
    <font>
      <sz val="12"/>
      <color theme="4" tint="0.39997558519241921"/>
      <name val="新細明體"/>
      <family val="1"/>
      <charset val="136"/>
      <scheme val="minor"/>
    </font>
    <font>
      <sz val="12"/>
      <color theme="4" tint="0.39997558519241921"/>
      <name val="新細明體"/>
      <family val="2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30">
    <xf numFmtId="0" fontId="0" fillId="0" borderId="0" xfId="0">
      <alignment vertical="center"/>
    </xf>
    <xf numFmtId="0" fontId="3" fillId="0" borderId="0" xfId="1">
      <alignment vertical="center"/>
    </xf>
    <xf numFmtId="0" fontId="7" fillId="0" borderId="0" xfId="0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" fillId="0" borderId="0" xfId="0" applyFont="1">
      <alignment vertical="center"/>
    </xf>
    <xf numFmtId="0" fontId="6" fillId="0" borderId="1" xfId="0" applyFont="1" applyBorder="1">
      <alignment vertical="center"/>
    </xf>
    <xf numFmtId="0" fontId="0" fillId="2" borderId="0" xfId="0" applyFill="1">
      <alignment vertical="center"/>
    </xf>
    <xf numFmtId="0" fontId="11" fillId="0" borderId="1" xfId="0" applyFont="1" applyBorder="1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>
      <alignment vertical="center"/>
    </xf>
    <xf numFmtId="0" fontId="8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1" fillId="6" borderId="0" xfId="0" applyFont="1" applyFill="1">
      <alignment vertical="center"/>
    </xf>
    <xf numFmtId="0" fontId="12" fillId="6" borderId="0" xfId="0" applyFont="1" applyFill="1">
      <alignment vertical="center"/>
    </xf>
    <xf numFmtId="0" fontId="14" fillId="6" borderId="0" xfId="0" applyFont="1" applyFill="1">
      <alignment vertical="center"/>
    </xf>
    <xf numFmtId="0" fontId="15" fillId="6" borderId="0" xfId="0" applyFont="1" applyFill="1">
      <alignment vertical="center"/>
    </xf>
    <xf numFmtId="0" fontId="16" fillId="0" borderId="0" xfId="1" applyFont="1">
      <alignment vertical="center"/>
    </xf>
    <xf numFmtId="0" fontId="10" fillId="2" borderId="0" xfId="0" applyFont="1" applyFill="1">
      <alignment vertical="center"/>
    </xf>
    <xf numFmtId="10" fontId="0" fillId="5" borderId="0" xfId="0" applyNumberFormat="1" applyFill="1">
      <alignment vertical="center"/>
    </xf>
    <xf numFmtId="0" fontId="0" fillId="0" borderId="0" xfId="0" applyAlignment="1">
      <alignment vertical="center"/>
    </xf>
    <xf numFmtId="0" fontId="18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colors>
    <mruColors>
      <color rgb="FFFF00FF"/>
      <color rgb="FFFF9966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4"/>
  <sheetViews>
    <sheetView tabSelected="1" topLeftCell="J1" workbookViewId="0">
      <selection activeCell="M5" sqref="M5:P5"/>
    </sheetView>
  </sheetViews>
  <sheetFormatPr defaultRowHeight="16.5"/>
  <cols>
    <col min="5" max="5" width="8.875" style="6"/>
    <col min="6" max="6" width="9.625" bestFit="1" customWidth="1"/>
    <col min="18" max="18" width="12.125" bestFit="1" customWidth="1"/>
    <col min="30" max="30" width="13" customWidth="1"/>
    <col min="32" max="32" width="16" customWidth="1"/>
  </cols>
  <sheetData>
    <row r="1" spans="1:32">
      <c r="A1" s="16" t="s">
        <v>18</v>
      </c>
      <c r="B1" s="15"/>
      <c r="C1" s="15"/>
      <c r="E1" s="15" t="s">
        <v>19</v>
      </c>
      <c r="F1" s="15"/>
      <c r="G1" s="15"/>
      <c r="H1" s="15"/>
      <c r="J1" s="15" t="s">
        <v>20</v>
      </c>
      <c r="K1" s="17"/>
      <c r="M1" s="14" t="s">
        <v>24</v>
      </c>
      <c r="N1" s="15"/>
      <c r="O1" s="15"/>
      <c r="P1" s="15"/>
      <c r="R1" s="16" t="s">
        <v>23</v>
      </c>
      <c r="S1" s="15"/>
      <c r="T1" s="15"/>
      <c r="U1" s="15"/>
      <c r="W1" s="14" t="s">
        <v>21</v>
      </c>
      <c r="X1" s="15"/>
      <c r="Z1" s="11" t="s">
        <v>25</v>
      </c>
      <c r="AB1" s="12" t="s">
        <v>28</v>
      </c>
      <c r="AD1" s="11" t="s">
        <v>26</v>
      </c>
      <c r="AF1" s="13" t="s">
        <v>32</v>
      </c>
    </row>
    <row r="2" spans="1:32" s="2" customFormat="1" ht="17.25" thickBot="1">
      <c r="A2" s="2" t="s">
        <v>0</v>
      </c>
      <c r="B2" s="2" t="s">
        <v>1</v>
      </c>
      <c r="C2" s="3" t="s">
        <v>35</v>
      </c>
      <c r="D2" s="3"/>
      <c r="E2" s="4"/>
      <c r="F2" s="2" t="s">
        <v>4</v>
      </c>
      <c r="G2" s="2" t="s">
        <v>5</v>
      </c>
      <c r="H2" s="2" t="s">
        <v>6</v>
      </c>
      <c r="J2" s="2" t="s">
        <v>4</v>
      </c>
      <c r="K2" s="2" t="s">
        <v>5</v>
      </c>
      <c r="M2" s="4" t="s">
        <v>10</v>
      </c>
      <c r="N2" s="4" t="s">
        <v>11</v>
      </c>
      <c r="O2" s="4" t="s">
        <v>12</v>
      </c>
      <c r="P2" s="4" t="s">
        <v>13</v>
      </c>
      <c r="R2" s="4" t="s">
        <v>14</v>
      </c>
      <c r="S2" s="4" t="s">
        <v>11</v>
      </c>
      <c r="T2" s="4" t="s">
        <v>15</v>
      </c>
      <c r="U2" s="4" t="s">
        <v>16</v>
      </c>
      <c r="Z2" s="2" t="s">
        <v>36</v>
      </c>
    </row>
    <row r="3" spans="1:32" ht="17.25" thickBot="1">
      <c r="A3" s="7">
        <v>58</v>
      </c>
      <c r="B3" s="7">
        <v>9</v>
      </c>
      <c r="C3" s="24">
        <v>1</v>
      </c>
      <c r="D3" s="1"/>
      <c r="E3" s="6" t="s">
        <v>3</v>
      </c>
      <c r="F3" s="18">
        <f>AVERAGE(A3:A12)</f>
        <v>45.8</v>
      </c>
      <c r="G3" s="18">
        <f t="shared" ref="G3:H3" si="0">AVERAGE(B3:B12)</f>
        <v>9.1999999999999993</v>
      </c>
      <c r="H3" s="18">
        <f t="shared" si="0"/>
        <v>0.6</v>
      </c>
      <c r="J3" s="18">
        <f>(A3-$F$3)/$F$4</f>
        <v>0.87054071733005833</v>
      </c>
      <c r="K3" s="18">
        <f>(B3-$G$3)/$G$4</f>
        <v>-6.0733224763418477E-2</v>
      </c>
      <c r="L3" s="1"/>
      <c r="M3" s="7">
        <v>-2.9344509586478007</v>
      </c>
      <c r="N3" s="7">
        <v>2.2945939437523393</v>
      </c>
      <c r="O3" s="7">
        <v>5.3546446117807092</v>
      </c>
      <c r="P3" s="7">
        <v>-2.0805453044803679</v>
      </c>
      <c r="R3" s="18">
        <f>1/(1+EXP(-(MMULT($J3:$K3,M$3:M$4)-M$6)))</f>
        <v>3.3581024770799851E-4</v>
      </c>
      <c r="S3" s="18">
        <f>1/(1+EXP(-(MMULT(J3:K3,N$3:N$4)-N$6)))</f>
        <v>0.92108221093781573</v>
      </c>
      <c r="T3" s="18">
        <f>1/(1+EXP(-(MMULT(J3:K3,O$3:O$4)-O$6)))</f>
        <v>0.26046041523771141</v>
      </c>
      <c r="U3" s="18">
        <f>1/(1+EXP(-(MMULT(J3:K3,P$3:P$4)-P$6)))</f>
        <v>1.3165944429034419E-3</v>
      </c>
      <c r="W3" s="8" t="s">
        <v>22</v>
      </c>
      <c r="X3" s="7">
        <v>-6.6317194665170502</v>
      </c>
      <c r="Z3" s="18">
        <f>1/(1+EXP(-(MMULT($R3:$U3,X$3:X$6)-X$8)))</f>
        <v>0.98993969438710128</v>
      </c>
      <c r="AB3" s="18">
        <f>IF(OR(AND(C3=1,Z3&lt;0.5),AND(C3=0,Z3&gt;=0.5)),1,0)</f>
        <v>0</v>
      </c>
      <c r="AD3" s="26">
        <f>AVERAGE(AB3:AB12)</f>
        <v>0.1</v>
      </c>
      <c r="AF3" s="18">
        <f>SUMXMY2(C3:C12, Z3:Z12)</f>
        <v>0.83775875267918865</v>
      </c>
    </row>
    <row r="4" spans="1:32" ht="17.25" thickBot="1">
      <c r="A4" s="7">
        <v>30</v>
      </c>
      <c r="B4" s="7">
        <v>6</v>
      </c>
      <c r="C4" s="24">
        <v>0</v>
      </c>
      <c r="D4" s="1"/>
      <c r="E4" s="6" t="s">
        <v>9</v>
      </c>
      <c r="F4" s="18">
        <f>STDEV(A3:A12)</f>
        <v>14.014278433083875</v>
      </c>
      <c r="G4" s="18">
        <f t="shared" ref="G4:H4" si="1">STDEV(B3:B12)</f>
        <v>3.2930904093942588</v>
      </c>
      <c r="H4" s="18">
        <f t="shared" si="1"/>
        <v>0.5163977794943222</v>
      </c>
      <c r="J4" s="18">
        <f t="shared" ref="J4:J12" si="2">(A4-$F$3)/$F$4</f>
        <v>-1.1274215847389275</v>
      </c>
      <c r="K4" s="18">
        <f t="shared" ref="K4:K12" si="3">(B4-$G$3)/$G$4</f>
        <v>-0.97173159621469885</v>
      </c>
      <c r="L4" s="1"/>
      <c r="M4" s="7">
        <v>-10</v>
      </c>
      <c r="N4" s="7">
        <v>6.0846674844691835</v>
      </c>
      <c r="O4" s="7">
        <v>0.83261062683337961</v>
      </c>
      <c r="P4" s="7">
        <v>2.9673424543409852</v>
      </c>
      <c r="R4" s="18">
        <f t="shared" ref="R4:R12" si="4">1/(1+EXP(-(MMULT($J4:$K4,M$3:M$4)-M$6)))</f>
        <v>0.99906523264875435</v>
      </c>
      <c r="S4" s="18">
        <f>1/(1+EXP(-(MMULT(J4:K4,N$3:N$4)-N$6)))</f>
        <v>4.6617100952659244E-4</v>
      </c>
      <c r="T4" s="18">
        <f>1/(1+EXP(-(MMULT(J4:K4,O$3:O$4)-O$6)))</f>
        <v>3.7249182884464977E-6</v>
      </c>
      <c r="U4" s="18">
        <f>1/(1+EXP(-(MMULT(J4:K4,P$3:P$4)-P$6)))</f>
        <v>5.6088639084775635E-3</v>
      </c>
      <c r="W4" s="10" t="s">
        <v>11</v>
      </c>
      <c r="X4" s="7">
        <v>3.4108822437602306</v>
      </c>
      <c r="Z4" s="18">
        <f t="shared" ref="Z4:Z12" si="5">1/(1+EXP(-(MMULT($R4:$U4,X$3:X$6)-X$8)))</f>
        <v>6.8324538185081371E-2</v>
      </c>
      <c r="AB4" s="18">
        <f>IF(OR(AND(C4=1,Z4&lt;0.5),AND(C4=0,Z4&gt;=0.5)),1,0)</f>
        <v>0</v>
      </c>
    </row>
    <row r="5" spans="1:32" ht="17.25" thickBot="1">
      <c r="A5" s="7">
        <v>37</v>
      </c>
      <c r="B5" s="7">
        <v>12</v>
      </c>
      <c r="C5" s="24">
        <v>1</v>
      </c>
      <c r="D5" s="1"/>
      <c r="E5" s="6" t="s">
        <v>7</v>
      </c>
      <c r="F5">
        <f>-MIN(A3:A12)</f>
        <v>-27</v>
      </c>
      <c r="G5">
        <f t="shared" ref="G5" si="6">-MIN(B3:B12)</f>
        <v>-5</v>
      </c>
      <c r="J5" s="18">
        <f t="shared" si="2"/>
        <v>-0.6279310092216811</v>
      </c>
      <c r="K5" s="18">
        <f t="shared" si="3"/>
        <v>0.85026514668786191</v>
      </c>
      <c r="L5" s="1"/>
      <c r="M5" s="28" t="s">
        <v>37</v>
      </c>
      <c r="N5" s="29" t="s">
        <v>38</v>
      </c>
      <c r="O5" s="29" t="s">
        <v>39</v>
      </c>
      <c r="P5" s="29" t="s">
        <v>40</v>
      </c>
      <c r="R5" s="18">
        <f t="shared" si="4"/>
        <v>3.0164697528584821E-6</v>
      </c>
      <c r="S5" s="18">
        <f>1/(1+EXP(-(MMULT(J5:K5,N$3:N$4)-N$6)))</f>
        <v>0.98966551488222398</v>
      </c>
      <c r="T5" s="18">
        <f>1/(1+EXP(-(MMULT(J5:K5,O$3:O$4)-O$6)))</f>
        <v>2.462656210076764E-4</v>
      </c>
      <c r="U5" s="18">
        <f>1/(1+EXP(-(MMULT(J5:K5,P$3:P$4)-P$6)))</f>
        <v>0.30778248382999668</v>
      </c>
      <c r="W5" s="10" t="s">
        <v>12</v>
      </c>
      <c r="X5" s="7">
        <v>-10</v>
      </c>
      <c r="Z5" s="18">
        <f t="shared" si="5"/>
        <v>0.98741600484712844</v>
      </c>
      <c r="AB5" s="18">
        <f>IF(OR(AND(C5=1,Z5&lt;0.5),AND(C5=0,Z5&gt;=0.5)),1,0)</f>
        <v>0</v>
      </c>
    </row>
    <row r="6" spans="1:32" ht="17.25" thickBot="1">
      <c r="A6" s="7">
        <v>70</v>
      </c>
      <c r="B6" s="7">
        <v>12</v>
      </c>
      <c r="C6" s="24">
        <v>0</v>
      </c>
      <c r="D6" s="1"/>
      <c r="E6" s="6" t="s">
        <v>8</v>
      </c>
      <c r="F6">
        <f>MAX(A3:A12)</f>
        <v>70</v>
      </c>
      <c r="G6">
        <f t="shared" ref="G6" si="7">MAX(B3:B12)</f>
        <v>14</v>
      </c>
      <c r="J6" s="18">
        <f t="shared" si="2"/>
        <v>1.7268102753596237</v>
      </c>
      <c r="K6" s="18">
        <f t="shared" si="3"/>
        <v>0.85026514668786191</v>
      </c>
      <c r="L6" s="1"/>
      <c r="M6" s="7">
        <v>6.0514016349689266</v>
      </c>
      <c r="N6" s="7">
        <v>-0.82914664929373005</v>
      </c>
      <c r="O6" s="7">
        <v>5.6544459500699515</v>
      </c>
      <c r="P6" s="7">
        <v>4.6399737037883755</v>
      </c>
      <c r="R6" s="18">
        <f t="shared" si="4"/>
        <v>3.0100980836401856E-9</v>
      </c>
      <c r="S6" s="18">
        <f>1/(1+EXP(-(MMULT(J6:K6,N$3:N$4)-N$6)))</f>
        <v>0.99995298776888908</v>
      </c>
      <c r="T6" s="18">
        <f>1/(1+EXP(-(MMULT(J6:K6,O$3:O$4)-O$6)))</f>
        <v>0.98661241098240615</v>
      </c>
      <c r="U6" s="18">
        <f>1/(1+EXP(-(MMULT(J6:K6,P$3:P$4)-P$6)))</f>
        <v>3.3028775988065951E-3</v>
      </c>
      <c r="W6" s="10" t="s">
        <v>13</v>
      </c>
      <c r="X6" s="7">
        <v>-10</v>
      </c>
      <c r="Z6" s="18">
        <f t="shared" si="5"/>
        <v>8.1578522074650245E-2</v>
      </c>
      <c r="AB6" s="18">
        <f>IF(OR(AND(C6=1,Z6&lt;0.5),AND(C6=0,Z6&gt;=0.5)),1,0)</f>
        <v>0</v>
      </c>
    </row>
    <row r="7" spans="1:32" ht="17.25" thickBot="1">
      <c r="A7" s="7">
        <v>40</v>
      </c>
      <c r="B7" s="7">
        <v>5</v>
      </c>
      <c r="C7" s="24">
        <v>0</v>
      </c>
      <c r="D7" s="1"/>
      <c r="J7" s="18">
        <f t="shared" si="2"/>
        <v>-0.41386361971428975</v>
      </c>
      <c r="K7" s="18">
        <f t="shared" si="3"/>
        <v>-1.2753977200317923</v>
      </c>
      <c r="L7" s="1"/>
      <c r="R7" s="18">
        <f t="shared" si="4"/>
        <v>0.99963565249980124</v>
      </c>
      <c r="S7" s="18">
        <f>1/(1+EXP(-(MMULT(J7:K7,N$3:N$4)-N$6)))</f>
        <v>3.7776011720189553E-4</v>
      </c>
      <c r="T7" s="18">
        <f>1/(1+EXP(-(MMULT(J7:K7,O$3:O$4)-O$6)))</f>
        <v>1.3201694502930247E-4</v>
      </c>
      <c r="U7" s="18">
        <f>1/(1+EXP(-(MMULT(J7:K7,P$3:P$4)-P$6)))</f>
        <v>5.1881020322246856E-4</v>
      </c>
      <c r="W7" s="6"/>
      <c r="Z7" s="18">
        <f t="shared" si="5"/>
        <v>7.1280605040994649E-2</v>
      </c>
      <c r="AB7" s="18">
        <f>IF(OR(AND(C7=1,Z7&lt;0.5),AND(C7=0,Z7&gt;=0.5)),1,0)</f>
        <v>0</v>
      </c>
    </row>
    <row r="8" spans="1:32" ht="17.25" thickBot="1">
      <c r="A8" s="7">
        <v>27</v>
      </c>
      <c r="B8" s="7">
        <v>7</v>
      </c>
      <c r="C8" s="24">
        <v>0</v>
      </c>
      <c r="D8" s="1"/>
      <c r="J8" s="18">
        <f t="shared" si="2"/>
        <v>-1.341488974246319</v>
      </c>
      <c r="K8" s="18">
        <f t="shared" si="3"/>
        <v>-0.66806547239760539</v>
      </c>
      <c r="L8" s="1"/>
      <c r="R8" s="18">
        <f t="shared" si="4"/>
        <v>0.98970538836790423</v>
      </c>
      <c r="S8" s="18">
        <f>1/(1+EXP(-(MMULT(J8:K8,N$3:N$4)-N$6)))</f>
        <v>1.8075349743387759E-3</v>
      </c>
      <c r="T8" s="18">
        <f>1/(1+EXP(-(MMULT(J8:K8,O$3:O$4)-O$6)))</f>
        <v>1.5244412721404105E-6</v>
      </c>
      <c r="U8" s="18">
        <f>1/(1+EXP(-(MMULT(J8:K8,P$3:P$4)-P$6)))</f>
        <v>2.1220801913815757E-2</v>
      </c>
      <c r="W8" s="10" t="s">
        <v>17</v>
      </c>
      <c r="X8" s="7">
        <v>-4.0673406211185341</v>
      </c>
      <c r="Z8" s="18">
        <f t="shared" si="5"/>
        <v>6.284567548180503E-2</v>
      </c>
      <c r="AB8" s="18">
        <f>IF(OR(AND(C8=1,Z8&lt;0.5),AND(C8=0,Z8&gt;=0.5)),1,0)</f>
        <v>0</v>
      </c>
    </row>
    <row r="9" spans="1:32">
      <c r="A9" s="7">
        <v>39</v>
      </c>
      <c r="B9" s="7">
        <v>13</v>
      </c>
      <c r="C9" s="24">
        <v>1</v>
      </c>
      <c r="D9" s="1"/>
      <c r="J9" s="18">
        <f t="shared" si="2"/>
        <v>-0.48521941621675352</v>
      </c>
      <c r="K9" s="18">
        <f t="shared" si="3"/>
        <v>1.1539312705049554</v>
      </c>
      <c r="L9" s="1"/>
      <c r="R9" s="18">
        <f t="shared" si="4"/>
        <v>9.5240377259784173E-8</v>
      </c>
      <c r="S9" s="18">
        <f>1/(1+EXP(-(MMULT(J9:K9,N$3:N$4)-N$6)))</f>
        <v>0.99881526792952624</v>
      </c>
      <c r="T9" s="18">
        <f>1/(1+EXP(-(MMULT(J9:K9,O$3:O$4)-O$6)))</f>
        <v>6.8060470655977446E-4</v>
      </c>
      <c r="U9" s="18">
        <f>1/(1+EXP(-(MMULT(J9:K9,P$3:P$4)-P$6)))</f>
        <v>0.44859638835979626</v>
      </c>
      <c r="Z9" s="18">
        <f t="shared" si="5"/>
        <v>0.95172725223451604</v>
      </c>
      <c r="AB9" s="18">
        <f>IF(OR(AND(C9=1,Z9&lt;0.5),AND(C9=0,Z9&gt;=0.5)),1,0)</f>
        <v>0</v>
      </c>
    </row>
    <row r="10" spans="1:32">
      <c r="A10" s="7">
        <v>52</v>
      </c>
      <c r="B10" s="7">
        <v>6</v>
      </c>
      <c r="C10" s="24">
        <v>1</v>
      </c>
      <c r="D10" s="1"/>
      <c r="J10" s="18">
        <f t="shared" si="2"/>
        <v>0.44240593831527564</v>
      </c>
      <c r="K10" s="18">
        <f t="shared" si="3"/>
        <v>-0.97173159621469885</v>
      </c>
      <c r="L10" s="1"/>
      <c r="P10" s="27"/>
      <c r="R10" s="18">
        <f t="shared" si="4"/>
        <v>0.91433054414062176</v>
      </c>
      <c r="S10" s="18">
        <f>1/(1+EXP(-(MMULT(J10:K10,N$3:N$4)-N$6)))</f>
        <v>1.6817495652461881E-2</v>
      </c>
      <c r="T10" s="18">
        <f>1/(1+EXP(-(MMULT(J10:K10,O$3:O$4)-O$6)))</f>
        <v>1.6389430193231396E-2</v>
      </c>
      <c r="U10" s="18">
        <f>1/(1+EXP(-(MMULT(J10:K10,P$3:P$4)-P$6)))</f>
        <v>2.1516725296308073E-4</v>
      </c>
      <c r="Z10" s="18">
        <f t="shared" si="5"/>
        <v>0.10861891043066707</v>
      </c>
      <c r="AB10" s="18">
        <f>IF(OR(AND(C10=1,Z10&lt;0.5),AND(C10=0,Z10&gt;=0.5)),1,0)</f>
        <v>1</v>
      </c>
    </row>
    <row r="11" spans="1:32">
      <c r="A11" s="7">
        <v>61</v>
      </c>
      <c r="B11" s="7">
        <v>8</v>
      </c>
      <c r="C11" s="24">
        <v>1</v>
      </c>
      <c r="D11" s="1"/>
      <c r="J11" s="18">
        <f t="shared" si="2"/>
        <v>1.0846081068374496</v>
      </c>
      <c r="K11" s="18">
        <f t="shared" si="3"/>
        <v>-0.36439934858051193</v>
      </c>
      <c r="L11" s="1"/>
      <c r="R11" s="18">
        <f t="shared" si="4"/>
        <v>3.7206198189787482E-3</v>
      </c>
      <c r="S11" s="18">
        <f>1/(1+EXP(-(MMULT(J11:K11,N$3:N$4)-N$6)))</f>
        <v>0.75037868724098289</v>
      </c>
      <c r="T11" s="18">
        <f>1/(1+EXP(-(MMULT(J11:K11,O$3:O$4)-O$6)))</f>
        <v>0.46253093468095002</v>
      </c>
      <c r="U11" s="18">
        <f>1/(1+EXP(-(MMULT(J11:K11,P$3:P$4)-P$6)))</f>
        <v>3.4285923690106608E-4</v>
      </c>
      <c r="Z11" s="18">
        <f t="shared" si="5"/>
        <v>0.87797390055735902</v>
      </c>
      <c r="AB11" s="18">
        <f>IF(OR(AND(C11=1,Z11&lt;0.5),AND(C11=0,Z11&gt;=0.5)),1,0)</f>
        <v>0</v>
      </c>
    </row>
    <row r="12" spans="1:32">
      <c r="A12" s="7">
        <v>44</v>
      </c>
      <c r="B12" s="7">
        <v>14</v>
      </c>
      <c r="C12" s="24">
        <v>1</v>
      </c>
      <c r="D12" s="1"/>
      <c r="J12" s="18">
        <f t="shared" si="2"/>
        <v>-0.12844043370443461</v>
      </c>
      <c r="K12" s="18">
        <f t="shared" si="3"/>
        <v>1.4575973943220488</v>
      </c>
      <c r="L12" s="1"/>
      <c r="R12" s="18">
        <f t="shared" si="4"/>
        <v>1.6044682783824658E-9</v>
      </c>
      <c r="S12" s="18">
        <f>1/(1+EXP(-(MMULT(J12:K12,N$3:N$4)-N$6)))</f>
        <v>0.99991756545031285</v>
      </c>
      <c r="T12" s="18">
        <f>1/(1+EXP(-(MMULT(J12:K12,O$3:O$4)-O$6)))</f>
        <v>5.8900241278476255E-3</v>
      </c>
      <c r="U12" s="18">
        <f>1/(1+EXP(-(MMULT(J12:K12,P$3:P$4)-P$6)))</f>
        <v>0.48811300702115085</v>
      </c>
      <c r="Z12" s="18">
        <f t="shared" si="5"/>
        <v>0.92675718008933361</v>
      </c>
      <c r="AB12" s="18">
        <f>IF(OR(AND(C12=1,Z12&lt;0.5),AND(C12=0,Z12&gt;=0.5)),1,0)</f>
        <v>0</v>
      </c>
    </row>
    <row r="13" spans="1:32" s="9" customFormat="1" ht="17.25" thickBot="1">
      <c r="A13" s="16" t="s">
        <v>18</v>
      </c>
      <c r="B13" s="15"/>
      <c r="C13" s="15"/>
      <c r="E13" s="15" t="s">
        <v>19</v>
      </c>
      <c r="F13" s="15"/>
      <c r="G13" s="15"/>
      <c r="H13" s="15"/>
      <c r="J13" s="15" t="s">
        <v>20</v>
      </c>
      <c r="K13" s="17"/>
      <c r="M13" s="14" t="s">
        <v>24</v>
      </c>
      <c r="N13" s="15"/>
      <c r="O13" s="15"/>
      <c r="P13" s="15"/>
      <c r="R13" s="16" t="s">
        <v>23</v>
      </c>
      <c r="S13" s="15"/>
      <c r="T13" s="15"/>
      <c r="U13" s="15"/>
      <c r="W13" s="14" t="s">
        <v>21</v>
      </c>
      <c r="X13" s="15"/>
      <c r="Z13" s="11" t="s">
        <v>25</v>
      </c>
      <c r="AB13" s="12" t="s">
        <v>29</v>
      </c>
      <c r="AD13" s="11" t="s">
        <v>27</v>
      </c>
      <c r="AF13" s="13" t="s">
        <v>33</v>
      </c>
    </row>
    <row r="14" spans="1:32" s="5" customFormat="1" ht="17.25" thickBot="1">
      <c r="A14" s="2" t="s">
        <v>0</v>
      </c>
      <c r="B14" s="2" t="s">
        <v>1</v>
      </c>
      <c r="C14" s="3" t="s">
        <v>2</v>
      </c>
      <c r="E14" s="6"/>
      <c r="F14" s="2" t="s">
        <v>4</v>
      </c>
      <c r="G14" s="2" t="s">
        <v>5</v>
      </c>
      <c r="H14" s="2" t="s">
        <v>6</v>
      </c>
      <c r="J14" s="2" t="s">
        <v>0</v>
      </c>
      <c r="K14" s="2" t="s">
        <v>1</v>
      </c>
      <c r="L14" s="3"/>
      <c r="M14" s="4" t="s">
        <v>10</v>
      </c>
      <c r="N14" s="4" t="s">
        <v>11</v>
      </c>
      <c r="O14" s="4" t="s">
        <v>12</v>
      </c>
      <c r="P14" s="4" t="s">
        <v>13</v>
      </c>
      <c r="R14" s="4" t="s">
        <v>14</v>
      </c>
      <c r="S14" s="4" t="s">
        <v>11</v>
      </c>
      <c r="T14" s="4" t="s">
        <v>15</v>
      </c>
      <c r="U14" s="4" t="s">
        <v>16</v>
      </c>
      <c r="W14" s="8" t="s">
        <v>30</v>
      </c>
      <c r="X14" s="19"/>
      <c r="Z14" s="25" t="s">
        <v>34</v>
      </c>
      <c r="AB14" s="25"/>
    </row>
    <row r="15" spans="1:32" ht="17.25" thickBot="1">
      <c r="A15" s="7">
        <v>69</v>
      </c>
      <c r="B15" s="7">
        <v>14</v>
      </c>
      <c r="C15" s="24">
        <v>0</v>
      </c>
      <c r="E15" s="6" t="s">
        <v>3</v>
      </c>
      <c r="F15" s="18">
        <f>AVERAGE(A15:A24)</f>
        <v>49.8</v>
      </c>
      <c r="G15" s="18">
        <f>AVERAGE(B15:B24)</f>
        <v>10.7</v>
      </c>
      <c r="H15" s="18">
        <f>AVERAGE((C15:C24))</f>
        <v>0.4</v>
      </c>
      <c r="J15" s="18">
        <f>(A15-$F$15)/$F$16</f>
        <v>1.0362662530842168</v>
      </c>
      <c r="K15" s="18">
        <f>(B15-$G$15)/$G$16</f>
        <v>0.68627654232944479</v>
      </c>
      <c r="L15" s="1"/>
      <c r="M15" s="20"/>
      <c r="N15" s="21"/>
      <c r="O15" s="22"/>
      <c r="P15" s="23"/>
      <c r="R15" s="18"/>
      <c r="S15" s="18"/>
      <c r="T15" s="18"/>
      <c r="U15" s="18"/>
      <c r="W15" s="10" t="s">
        <v>11</v>
      </c>
      <c r="X15" s="19"/>
      <c r="Z15" s="18"/>
      <c r="AB15" s="18"/>
      <c r="AD15" s="18"/>
      <c r="AF15" s="18"/>
    </row>
    <row r="16" spans="1:32" ht="17.25" thickBot="1">
      <c r="A16" s="7">
        <v>52</v>
      </c>
      <c r="B16" s="7">
        <v>7</v>
      </c>
      <c r="C16" s="24">
        <v>1</v>
      </c>
      <c r="E16" s="6" t="s">
        <v>9</v>
      </c>
      <c r="F16" s="18">
        <f>STDEV(A15:A24)</f>
        <v>18.52805680282983</v>
      </c>
      <c r="G16" s="18">
        <f>STDEV(B15:B24)</f>
        <v>4.8085571871635482</v>
      </c>
      <c r="H16" s="18">
        <f>STDEV(C15:C24)</f>
        <v>0.5163977794943222</v>
      </c>
      <c r="J16" s="18">
        <f t="shared" ref="J16:J24" si="8">(A16-$F$15)/$F$16</f>
        <v>0.11873884149923332</v>
      </c>
      <c r="K16" s="18">
        <f t="shared" ref="K16:K24" si="9">(B16-$G$15)/$G$16</f>
        <v>-0.76946157776331658</v>
      </c>
      <c r="L16" s="1"/>
      <c r="M16" s="20"/>
      <c r="N16" s="21"/>
      <c r="O16" s="22"/>
      <c r="P16" s="23"/>
      <c r="R16" s="18"/>
      <c r="S16" s="18"/>
      <c r="T16" s="18"/>
      <c r="U16" s="18"/>
      <c r="W16" s="10" t="s">
        <v>12</v>
      </c>
      <c r="X16" s="19"/>
      <c r="Z16" s="18"/>
      <c r="AB16" s="18"/>
      <c r="AD16" s="9"/>
    </row>
    <row r="17" spans="1:30" ht="17.25" thickBot="1">
      <c r="A17" s="7">
        <v>71</v>
      </c>
      <c r="B17" s="7">
        <v>7</v>
      </c>
      <c r="C17" s="24">
        <v>0</v>
      </c>
      <c r="E17" s="6" t="s">
        <v>7</v>
      </c>
      <c r="F17">
        <f>MIN(A15:A24)</f>
        <v>18</v>
      </c>
      <c r="G17">
        <f>MIN(B15:B24)</f>
        <v>3</v>
      </c>
      <c r="J17" s="18">
        <f t="shared" si="8"/>
        <v>1.1442106544471562</v>
      </c>
      <c r="K17" s="18">
        <f t="shared" si="9"/>
        <v>-0.76946157776331658</v>
      </c>
      <c r="L17" s="1"/>
      <c r="M17" s="28" t="s">
        <v>37</v>
      </c>
      <c r="N17" s="29" t="s">
        <v>38</v>
      </c>
      <c r="O17" s="29" t="s">
        <v>39</v>
      </c>
      <c r="P17" s="29" t="s">
        <v>40</v>
      </c>
      <c r="R17" s="18"/>
      <c r="S17" s="18"/>
      <c r="T17" s="18"/>
      <c r="U17" s="18"/>
      <c r="W17" s="10" t="s">
        <v>13</v>
      </c>
      <c r="X17" s="19"/>
      <c r="Z17" s="18"/>
      <c r="AB17" s="18"/>
      <c r="AD17" s="9"/>
    </row>
    <row r="18" spans="1:30" ht="17.25" thickBot="1">
      <c r="A18" s="7">
        <v>74</v>
      </c>
      <c r="B18" s="7">
        <v>10</v>
      </c>
      <c r="C18" s="24">
        <v>0</v>
      </c>
      <c r="E18" s="6" t="s">
        <v>8</v>
      </c>
      <c r="F18">
        <f>MAX(A15:A24)</f>
        <v>74</v>
      </c>
      <c r="G18">
        <f>MAX(B15:B24)</f>
        <v>18</v>
      </c>
      <c r="J18" s="18">
        <f t="shared" si="8"/>
        <v>1.3061272564915649</v>
      </c>
      <c r="K18" s="18">
        <f t="shared" si="9"/>
        <v>-0.14557381200927599</v>
      </c>
      <c r="L18" s="1"/>
      <c r="M18" s="20"/>
      <c r="N18" s="21"/>
      <c r="O18" s="22"/>
      <c r="P18" s="23"/>
      <c r="R18" s="18"/>
      <c r="S18" s="18"/>
      <c r="T18" s="18"/>
      <c r="U18" s="18"/>
      <c r="W18" s="6"/>
      <c r="Z18" s="18"/>
      <c r="AB18" s="18"/>
      <c r="AD18" s="9"/>
    </row>
    <row r="19" spans="1:30" ht="17.25" thickBot="1">
      <c r="A19" s="7">
        <v>55</v>
      </c>
      <c r="B19" s="7">
        <v>18</v>
      </c>
      <c r="C19" s="24">
        <v>0</v>
      </c>
      <c r="J19" s="18">
        <f t="shared" si="8"/>
        <v>0.28065544354364219</v>
      </c>
      <c r="K19" s="18">
        <f t="shared" si="9"/>
        <v>1.5181268966681656</v>
      </c>
      <c r="L19" s="1"/>
      <c r="R19" s="18"/>
      <c r="S19" s="18"/>
      <c r="T19" s="18"/>
      <c r="U19" s="18"/>
      <c r="W19" s="10" t="s">
        <v>31</v>
      </c>
      <c r="X19" s="19"/>
      <c r="Z19" s="18"/>
      <c r="AB19" s="18"/>
      <c r="AD19" s="9"/>
    </row>
    <row r="20" spans="1:30">
      <c r="A20" s="7">
        <v>50</v>
      </c>
      <c r="B20" s="7">
        <v>15</v>
      </c>
      <c r="C20" s="24">
        <v>1</v>
      </c>
      <c r="J20" s="18">
        <f t="shared" si="8"/>
        <v>1.0794440136294077E-2</v>
      </c>
      <c r="K20" s="18">
        <f t="shared" si="9"/>
        <v>0.89423913091412499</v>
      </c>
      <c r="L20" s="1"/>
      <c r="R20" s="18"/>
      <c r="S20" s="18"/>
      <c r="T20" s="18"/>
      <c r="U20" s="18"/>
      <c r="Z20" s="18"/>
      <c r="AB20" s="18"/>
      <c r="AD20" s="9"/>
    </row>
    <row r="21" spans="1:30">
      <c r="A21" s="7">
        <v>18</v>
      </c>
      <c r="B21" s="7">
        <v>9</v>
      </c>
      <c r="C21" s="24">
        <v>0</v>
      </c>
      <c r="J21" s="18">
        <f t="shared" si="8"/>
        <v>-1.7163159816707338</v>
      </c>
      <c r="K21" s="18">
        <f t="shared" si="9"/>
        <v>-0.35353640059395619</v>
      </c>
      <c r="L21" s="1"/>
      <c r="R21" s="18"/>
      <c r="S21" s="18"/>
      <c r="T21" s="18"/>
      <c r="U21" s="18"/>
      <c r="Z21" s="18"/>
      <c r="AB21" s="18"/>
      <c r="AD21" s="9"/>
    </row>
    <row r="22" spans="1:30">
      <c r="A22" s="7">
        <v>37</v>
      </c>
      <c r="B22" s="7">
        <v>16</v>
      </c>
      <c r="C22" s="24">
        <v>1</v>
      </c>
      <c r="J22" s="18">
        <f t="shared" si="8"/>
        <v>-0.69084416872281096</v>
      </c>
      <c r="K22" s="18">
        <f t="shared" si="9"/>
        <v>1.1022017194988052</v>
      </c>
      <c r="L22" s="1"/>
      <c r="R22" s="18"/>
      <c r="S22" s="18"/>
      <c r="T22" s="18"/>
      <c r="U22" s="18"/>
      <c r="Z22" s="18"/>
      <c r="AB22" s="18"/>
      <c r="AD22" s="9"/>
    </row>
    <row r="23" spans="1:30">
      <c r="A23" s="7">
        <v>29</v>
      </c>
      <c r="B23" s="7">
        <v>3</v>
      </c>
      <c r="C23" s="24">
        <v>0</v>
      </c>
      <c r="J23" s="18">
        <f t="shared" si="8"/>
        <v>-1.1226217741745679</v>
      </c>
      <c r="K23" s="18">
        <f t="shared" si="9"/>
        <v>-1.6013119321020373</v>
      </c>
      <c r="L23" s="1"/>
      <c r="R23" s="18"/>
      <c r="S23" s="18"/>
      <c r="T23" s="18"/>
      <c r="U23" s="18"/>
      <c r="Z23" s="18"/>
      <c r="AB23" s="18"/>
      <c r="AD23" s="9"/>
    </row>
    <row r="24" spans="1:30">
      <c r="A24" s="7">
        <v>43</v>
      </c>
      <c r="B24" s="7">
        <v>8</v>
      </c>
      <c r="C24" s="24">
        <v>1</v>
      </c>
      <c r="J24" s="18">
        <f t="shared" si="8"/>
        <v>-0.36701096463399324</v>
      </c>
      <c r="K24" s="18">
        <f t="shared" si="9"/>
        <v>-0.56149898917863639</v>
      </c>
      <c r="L24" s="1"/>
      <c r="R24" s="18"/>
      <c r="S24" s="18"/>
      <c r="T24" s="18"/>
      <c r="U24" s="18"/>
      <c r="Z24" s="18"/>
      <c r="AB24" s="18"/>
      <c r="AD24" s="9"/>
    </row>
  </sheetData>
  <mergeCells count="12">
    <mergeCell ref="W13:X13"/>
    <mergeCell ref="A1:C1"/>
    <mergeCell ref="E1:H1"/>
    <mergeCell ref="J1:K1"/>
    <mergeCell ref="M1:P1"/>
    <mergeCell ref="R1:U1"/>
    <mergeCell ref="W1:X1"/>
    <mergeCell ref="A13:C13"/>
    <mergeCell ref="E13:H13"/>
    <mergeCell ref="J13:K13"/>
    <mergeCell ref="M13:P13"/>
    <mergeCell ref="R13:U1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AI3</dc:creator>
  <cp:lastModifiedBy>USER</cp:lastModifiedBy>
  <dcterms:created xsi:type="dcterms:W3CDTF">2021-12-02T13:58:11Z</dcterms:created>
  <dcterms:modified xsi:type="dcterms:W3CDTF">2022-01-07T00:40:54Z</dcterms:modified>
</cp:coreProperties>
</file>