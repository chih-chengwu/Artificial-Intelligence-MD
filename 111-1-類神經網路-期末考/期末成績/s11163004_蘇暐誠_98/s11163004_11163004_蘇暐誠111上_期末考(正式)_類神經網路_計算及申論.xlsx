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4.研究所\4-1.教學\1.人工智慧\期末考\hw100111993\s11163004_蘇暐誠\"/>
    </mc:Choice>
  </mc:AlternateContent>
  <bookViews>
    <workbookView xWindow="0" yWindow="0" windowWidth="11832" windowHeight="8244" activeTab="2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8" i="2" l="1"/>
  <c r="S19" i="2"/>
  <c r="S20" i="2"/>
  <c r="S21" i="2"/>
  <c r="S22" i="2"/>
  <c r="S23" i="2"/>
  <c r="S24" i="2"/>
  <c r="S25" i="2"/>
  <c r="S26" i="2"/>
  <c r="S27" i="2"/>
  <c r="S28" i="2"/>
  <c r="S17" i="2"/>
  <c r="R18" i="2"/>
  <c r="R19" i="2"/>
  <c r="R20" i="2"/>
  <c r="R21" i="2"/>
  <c r="R22" i="2"/>
  <c r="R23" i="2"/>
  <c r="R24" i="2"/>
  <c r="R25" i="2"/>
  <c r="R26" i="2"/>
  <c r="R27" i="2"/>
  <c r="R28" i="2"/>
  <c r="R17" i="2"/>
  <c r="Q18" i="2"/>
  <c r="Q19" i="2"/>
  <c r="Q20" i="2"/>
  <c r="Q21" i="2"/>
  <c r="Q22" i="2"/>
  <c r="Q23" i="2"/>
  <c r="Q24" i="2"/>
  <c r="Q25" i="2"/>
  <c r="Q26" i="2"/>
  <c r="Q27" i="2"/>
  <c r="Q28" i="2"/>
  <c r="Q17" i="2"/>
  <c r="P18" i="2"/>
  <c r="P19" i="2"/>
  <c r="P20" i="2"/>
  <c r="P21" i="2"/>
  <c r="P22" i="2"/>
  <c r="P23" i="2"/>
  <c r="P24" i="2"/>
  <c r="P25" i="2"/>
  <c r="P26" i="2"/>
  <c r="P27" i="2"/>
  <c r="P28" i="2"/>
  <c r="P17" i="2"/>
  <c r="I18" i="2"/>
  <c r="I19" i="2"/>
  <c r="I20" i="2"/>
  <c r="I21" i="2"/>
  <c r="I22" i="2"/>
  <c r="I23" i="2"/>
  <c r="I24" i="2"/>
  <c r="I25" i="2"/>
  <c r="I26" i="2"/>
  <c r="I27" i="2"/>
  <c r="I28" i="2"/>
  <c r="I17" i="2"/>
  <c r="H18" i="2"/>
  <c r="H19" i="2"/>
  <c r="H20" i="2"/>
  <c r="H21" i="2"/>
  <c r="H22" i="2"/>
  <c r="H23" i="2"/>
  <c r="H24" i="2"/>
  <c r="H25" i="2"/>
  <c r="H26" i="2"/>
  <c r="H27" i="2"/>
  <c r="H28" i="2"/>
  <c r="H17" i="2"/>
  <c r="E20" i="2"/>
  <c r="F20" i="2"/>
  <c r="F19" i="2"/>
  <c r="E19" i="2"/>
  <c r="F18" i="2"/>
  <c r="E18" i="2"/>
  <c r="F17" i="2"/>
  <c r="F3" i="2"/>
  <c r="E17" i="2"/>
  <c r="H4" i="2"/>
  <c r="R4" i="2" s="1"/>
  <c r="H11" i="2"/>
  <c r="H12" i="2"/>
  <c r="H13" i="2"/>
  <c r="H14" i="2"/>
  <c r="H3" i="2"/>
  <c r="F6" i="2"/>
  <c r="F5" i="2"/>
  <c r="E6" i="2"/>
  <c r="E5" i="2"/>
  <c r="F4" i="2"/>
  <c r="I14" i="2" s="1"/>
  <c r="E4" i="2"/>
  <c r="H10" i="2" s="1"/>
  <c r="E3" i="2"/>
  <c r="H5" i="2" s="1"/>
  <c r="I4" i="2"/>
  <c r="X17" i="2" l="1"/>
  <c r="Z17" i="2" s="1"/>
  <c r="X28" i="2"/>
  <c r="Z28" i="2" s="1"/>
  <c r="X26" i="2"/>
  <c r="Z26" i="2" s="1"/>
  <c r="X25" i="2"/>
  <c r="Z25" i="2" s="1"/>
  <c r="X23" i="2"/>
  <c r="Z23" i="2" s="1"/>
  <c r="X22" i="2"/>
  <c r="Z22" i="2" s="1"/>
  <c r="X21" i="2"/>
  <c r="Z21" i="2" s="1"/>
  <c r="X20" i="2"/>
  <c r="Z20" i="2" s="1"/>
  <c r="X27" i="2"/>
  <c r="Z27" i="2" s="1"/>
  <c r="X24" i="2"/>
  <c r="Z24" i="2" s="1"/>
  <c r="X19" i="2"/>
  <c r="Z19" i="2" s="1"/>
  <c r="X18" i="2"/>
  <c r="Z18" i="2" s="1"/>
  <c r="R14" i="2"/>
  <c r="S14" i="2"/>
  <c r="Q10" i="2"/>
  <c r="S10" i="2"/>
  <c r="P10" i="2"/>
  <c r="R10" i="2"/>
  <c r="P14" i="2"/>
  <c r="P12" i="2"/>
  <c r="R11" i="2"/>
  <c r="R5" i="2"/>
  <c r="S5" i="2"/>
  <c r="P5" i="2"/>
  <c r="Q5" i="2"/>
  <c r="I13" i="2"/>
  <c r="I12" i="2"/>
  <c r="I11" i="2"/>
  <c r="P4" i="2"/>
  <c r="I6" i="2"/>
  <c r="Q4" i="2"/>
  <c r="I8" i="2"/>
  <c r="I7" i="2"/>
  <c r="Q14" i="2"/>
  <c r="H9" i="2"/>
  <c r="I5" i="2"/>
  <c r="I3" i="2"/>
  <c r="I9" i="2"/>
  <c r="P3" i="2"/>
  <c r="H7" i="2"/>
  <c r="Q11" i="2"/>
  <c r="I10" i="2"/>
  <c r="H8" i="2"/>
  <c r="Q12" i="2"/>
  <c r="S4" i="2"/>
  <c r="H6" i="2"/>
  <c r="AB17" i="2" l="1"/>
  <c r="AB24" i="2"/>
  <c r="X14" i="2"/>
  <c r="Z14" i="2" s="1"/>
  <c r="X4" i="2"/>
  <c r="Z4" i="2" s="1"/>
  <c r="X10" i="2"/>
  <c r="Z10" i="2" s="1"/>
  <c r="X5" i="2"/>
  <c r="Z5" i="2" s="1"/>
  <c r="R3" i="2"/>
  <c r="S3" i="2"/>
  <c r="Q9" i="2"/>
  <c r="R9" i="2"/>
  <c r="P9" i="2"/>
  <c r="S9" i="2"/>
  <c r="R13" i="2"/>
  <c r="S13" i="2"/>
  <c r="P13" i="2"/>
  <c r="R7" i="2"/>
  <c r="S7" i="2"/>
  <c r="Q7" i="2"/>
  <c r="P7" i="2"/>
  <c r="R6" i="2"/>
  <c r="S6" i="2"/>
  <c r="Q6" i="2"/>
  <c r="P6" i="2"/>
  <c r="Q13" i="2"/>
  <c r="Q3" i="2"/>
  <c r="R8" i="2"/>
  <c r="Q8" i="2"/>
  <c r="S8" i="2"/>
  <c r="P8" i="2"/>
  <c r="S11" i="2"/>
  <c r="P11" i="2"/>
  <c r="R12" i="2"/>
  <c r="S12" i="2"/>
  <c r="X8" i="2" l="1"/>
  <c r="Z8" i="2" s="1"/>
  <c r="X3" i="2"/>
  <c r="X11" i="2"/>
  <c r="Z11" i="2" s="1"/>
  <c r="X12" i="2"/>
  <c r="Z12" i="2" s="1"/>
  <c r="X13" i="2"/>
  <c r="Z13" i="2" s="1"/>
  <c r="X7" i="2"/>
  <c r="Z7" i="2" s="1"/>
  <c r="X9" i="2"/>
  <c r="Z9" i="2" s="1"/>
  <c r="X6" i="2"/>
  <c r="Z6" i="2" s="1"/>
  <c r="Z3" i="2" l="1"/>
  <c r="AB3" i="2" s="1"/>
  <c r="AB10" i="2"/>
</calcChain>
</file>

<file path=xl/sharedStrings.xml><?xml version="1.0" encoding="utf-8"?>
<sst xmlns="http://schemas.openxmlformats.org/spreadsheetml/2006/main" count="81" uniqueCount="61">
  <si>
    <t>Age</t>
    <phoneticPr fontId="2" type="noConversion"/>
  </si>
  <si>
    <t>樣本</t>
    <phoneticPr fontId="1" type="noConversion"/>
  </si>
  <si>
    <t>平均值/標準差</t>
    <phoneticPr fontId="1" type="noConversion"/>
  </si>
  <si>
    <t>資料正規化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</si>
  <si>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</si>
  <si>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</si>
  <si>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</si>
  <si>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</si>
  <si>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</si>
  <si>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</si>
  <si>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</si>
  <si>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</si>
  <si>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</si>
  <si>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</si>
  <si>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</si>
  <si>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</si>
  <si>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</si>
  <si>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</si>
  <si>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</si>
  <si>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</si>
  <si>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</si>
  <si>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</si>
  <si>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</si>
  <si>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</si>
  <si>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</si>
  <si>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</si>
  <si>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</si>
  <si>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</si>
  <si>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</si>
  <si>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</si>
  <si>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</si>
  <si>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</si>
  <si>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</si>
  <si>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</si>
  <si>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t xml:space="preserve">註:最近鄰居法分類法(Ｋ-Nearest-Neighbor,KNN) ； 類神經網路(Neural Network, NN) </t>
    <phoneticPr fontId="1" type="noConversion"/>
  </si>
  <si>
    <t xml:space="preserve">      評估:損失函數(Loss)大都使用 Mean Square Error 來計算，而且訓練時大都使用梯度下降法(Gradient Descent)來尋找最佳的參數值以得到最小的損失函數 (Loss) </t>
    <phoneticPr fontId="1" type="noConversion"/>
  </si>
  <si>
    <t>題目1:在類神經網路中，權重W在初始化時都是隨機給予，因此一開始時誤差很大，需要經過多次的訓練調整參數W來減少誤差提高精確率，</t>
    <phoneticPr fontId="1" type="noConversion"/>
  </si>
  <si>
    <t>題目3: KNN及類神經網路兩種演算法，都是用來作分類，目的都是預測新樣本的值，請說明二者計算原理最大的不同是什麼? (15)</t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</si>
  <si>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</si>
  <si>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</si>
  <si>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</si>
  <si>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</si>
  <si>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</si>
  <si>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</si>
  <si>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</si>
  <si>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</si>
  <si>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</si>
  <si>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</si>
  <si>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</si>
  <si>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</si>
  <si>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</si>
  <si>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</si>
  <si>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</si>
  <si>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</si>
  <si>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</t>
    </r>
    <phoneticPr fontId="1" type="noConversion"/>
  </si>
  <si>
    <r>
      <t>　　　又假設第一次訓練時Ｗ</t>
    </r>
    <r>
      <rPr>
        <vertAlign val="subscript"/>
        <sz val="12"/>
        <color rgb="FF0000FF"/>
        <rFont val="標楷體"/>
        <family val="4"/>
        <charset val="136"/>
      </rPr>
      <t>1</t>
    </r>
    <r>
      <rPr>
        <sz val="12"/>
        <color rgb="FF0000FF"/>
        <rFont val="標楷體"/>
        <family val="4"/>
        <charset val="136"/>
      </rPr>
      <t>＝-2.9，請問要訓練第3次時Ｗ</t>
    </r>
    <r>
      <rPr>
        <vertAlign val="subscript"/>
        <sz val="12"/>
        <color rgb="FF0000FF"/>
        <rFont val="標楷體"/>
        <family val="4"/>
        <charset val="136"/>
      </rPr>
      <t>3</t>
    </r>
    <r>
      <rPr>
        <sz val="12"/>
        <color rgb="FF0000FF"/>
        <rFont val="標楷體"/>
        <family val="4"/>
        <charset val="136"/>
      </rPr>
      <t>等於多少 （需附上：L(W)的曲線圖、計算過程及說明）(15)</t>
    </r>
    <phoneticPr fontId="1" type="noConversion"/>
  </si>
  <si>
    <t>答: 我們在計算類神經網路時，絕大部分都是用loss function，主要用在模型輸出(預測結果)與labels(真實的值)不一致的程度。MSE損失函數的計算結果是loss(誤差值)越小代表模型輸出(預測結果)與labels(真實的值)越接近，也就是說準確率越高。</t>
    <phoneticPr fontId="1" type="noConversion"/>
  </si>
  <si>
    <t>1.      K近鄰演算法 (KNN)是指若一個資料在特徵空間中的k個最相似(也就是說特徵空間中最相鄰)的資料中的大多數屬於某一個類別，則這筆資料也屬於這個類別。KNN的計算是使用歐式距離算出資料的距離，歐式距離越小，表示資料越相似；類神經網路(NN)則是將一大堆的數據輸入神經網路中，讓電腦透過大量數據的訓練找出規律並自動學習，最後讓電腦能依據自動學習累積的經驗做出預測。用老師上課的範例來舉例:假設有11個樣本，用來訓練的有10個，要預測第11個樣本。以KNN的方式做預測時，我們先將這10個樣本與第11個樣本來算距離，找出最接近的距離，所以預測的結果跟訓練的樣本有很大的關係；使用類神經網路做預測的話，必須先訓練10筆，然後得到一個參數檔，所以當預測第11個樣本時，我們就是拿這個參數檔，所以不會用到前面的樣本資料。</t>
    <phoneticPr fontId="1" type="noConversion"/>
  </si>
  <si>
    <t>min</t>
    <phoneticPr fontId="1" type="noConversion"/>
  </si>
  <si>
    <t>max</t>
    <phoneticPr fontId="1" type="noConversion"/>
  </si>
  <si>
    <t xml:space="preserve">      如附圖１，假設我們只有使用一個權重參數W，請說明為什麼 Loss(W) 跟W的關係是曲線的關係? (20)18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</si>
</sst>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0000FF"/>
      <name val="標楷體"/>
      <family val="4"/>
      <charset val="136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6"/>
      <color rgb="FF000000"/>
      <name val="微軟正黑體"/>
      <family val="2"/>
      <charset val="136"/>
    </font>
    <font>
      <sz val="12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9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8" fillId="0" borderId="1" xfId="0" applyFont="1" applyBorder="1">
      <alignment vertical="center"/>
    </xf>
    <xf numFmtId="0" fontId="0" fillId="7" borderId="0" xfId="0" applyFill="1">
      <alignment vertical="center"/>
    </xf>
    <xf numFmtId="10" fontId="0" fillId="7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3" fillId="4" borderId="0" xfId="1" applyFont="1" applyFill="1">
      <alignment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5" fillId="0" borderId="0" xfId="1" applyFont="1" applyFill="1">
      <alignment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 wrapText="1" indent="1"/>
    </xf>
    <xf numFmtId="0" fontId="25" fillId="9" borderId="0" xfId="0" applyFont="1" applyFill="1">
      <alignment vertical="center"/>
    </xf>
    <xf numFmtId="0" fontId="8" fillId="0" borderId="2" xfId="0" applyFont="1" applyBorder="1">
      <alignment vertical="center"/>
    </xf>
    <xf numFmtId="0" fontId="3" fillId="0" borderId="0" xfId="1" applyFont="1" applyFill="1">
      <alignment vertical="center"/>
    </xf>
    <xf numFmtId="0" fontId="9" fillId="0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30480</xdr:rowOff>
    </xdr:from>
    <xdr:to>
      <xdr:col>0</xdr:col>
      <xdr:colOff>6536822</xdr:colOff>
      <xdr:row>8</xdr:row>
      <xdr:rowOff>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080"/>
          <a:ext cx="6536822" cy="104394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15</xdr:row>
      <xdr:rowOff>91440</xdr:rowOff>
    </xdr:from>
    <xdr:to>
      <xdr:col>0</xdr:col>
      <xdr:colOff>6933246</xdr:colOff>
      <xdr:row>25</xdr:row>
      <xdr:rowOff>139359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" y="4038600"/>
          <a:ext cx="6811326" cy="2105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9535856</xdr:colOff>
      <xdr:row>54</xdr:row>
      <xdr:rowOff>23610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21780"/>
          <a:ext cx="9535856" cy="5372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28"/>
  <sheetViews>
    <sheetView topLeftCell="B1" zoomScale="85" zoomScaleNormal="85" workbookViewId="0">
      <selection activeCell="V6" sqref="V6"/>
    </sheetView>
  </sheetViews>
  <sheetFormatPr defaultRowHeight="16.2" x14ac:dyDescent="0.3"/>
  <cols>
    <col min="4" max="4" width="8.77734375" style="12"/>
    <col min="5" max="6" width="9.6640625" bestFit="1" customWidth="1"/>
    <col min="7" max="7" width="5" customWidth="1"/>
    <col min="10" max="10" width="4.5546875" style="4" customWidth="1"/>
    <col min="11" max="11" width="8.5546875" customWidth="1"/>
    <col min="12" max="12" width="7.5546875" customWidth="1"/>
    <col min="13" max="13" width="6.33203125" customWidth="1"/>
    <col min="14" max="14" width="7.88671875" customWidth="1"/>
    <col min="15" max="15" width="3.88671875" customWidth="1"/>
    <col min="16" max="16" width="13.6640625" bestFit="1" customWidth="1"/>
    <col min="17" max="17" width="10.5546875" bestFit="1" customWidth="1"/>
    <col min="19" max="19" width="14.77734375" customWidth="1"/>
    <col min="20" max="20" width="3.88671875" customWidth="1"/>
    <col min="23" max="23" width="3.77734375" customWidth="1"/>
    <col min="24" max="24" width="13.21875" customWidth="1"/>
    <col min="25" max="25" width="4.109375" customWidth="1"/>
    <col min="26" max="26" width="7.44140625" customWidth="1"/>
    <col min="27" max="27" width="3.88671875" customWidth="1"/>
    <col min="28" max="28" width="16.88671875" customWidth="1"/>
  </cols>
  <sheetData>
    <row r="1" spans="1:28" s="2" customFormat="1" x14ac:dyDescent="0.3">
      <c r="A1" s="37" t="s">
        <v>1</v>
      </c>
      <c r="B1" s="36"/>
      <c r="C1" s="36"/>
      <c r="D1" s="36" t="s">
        <v>2</v>
      </c>
      <c r="E1" s="36"/>
      <c r="F1" s="36"/>
      <c r="H1" s="36" t="s">
        <v>3</v>
      </c>
      <c r="I1" s="38"/>
      <c r="J1" s="25"/>
      <c r="K1" s="35" t="s">
        <v>4</v>
      </c>
      <c r="L1" s="36"/>
      <c r="M1" s="36"/>
      <c r="N1" s="36"/>
      <c r="P1" s="37" t="s">
        <v>5</v>
      </c>
      <c r="Q1" s="36"/>
      <c r="R1" s="36"/>
      <c r="S1" s="36"/>
      <c r="U1" s="35" t="s">
        <v>6</v>
      </c>
      <c r="V1" s="36"/>
      <c r="X1" s="5" t="s">
        <v>7</v>
      </c>
      <c r="Z1" s="5" t="s">
        <v>8</v>
      </c>
      <c r="AB1" s="26" t="s">
        <v>9</v>
      </c>
    </row>
    <row r="2" spans="1:28" s="6" customFormat="1" ht="20.399999999999999" thickBot="1" x14ac:dyDescent="0.35">
      <c r="A2" s="6" t="s">
        <v>0</v>
      </c>
      <c r="B2" s="6" t="s">
        <v>11</v>
      </c>
      <c r="C2" s="7" t="s">
        <v>12</v>
      </c>
      <c r="D2" s="8"/>
      <c r="E2" s="6" t="s">
        <v>13</v>
      </c>
      <c r="F2" s="6" t="s">
        <v>14</v>
      </c>
      <c r="H2" s="6" t="s">
        <v>15</v>
      </c>
      <c r="I2" s="6" t="s">
        <v>14</v>
      </c>
      <c r="J2" s="8"/>
      <c r="K2" s="9" t="s">
        <v>16</v>
      </c>
      <c r="L2" s="9" t="s">
        <v>17</v>
      </c>
      <c r="M2" s="9" t="s">
        <v>18</v>
      </c>
      <c r="N2" s="9" t="s">
        <v>19</v>
      </c>
      <c r="P2" s="10" t="s">
        <v>38</v>
      </c>
      <c r="Q2" s="10" t="s">
        <v>45</v>
      </c>
      <c r="R2" s="10" t="s">
        <v>44</v>
      </c>
      <c r="S2" s="10" t="s">
        <v>43</v>
      </c>
      <c r="X2" s="7" t="s">
        <v>33</v>
      </c>
    </row>
    <row r="3" spans="1:28" ht="20.399999999999999" thickBot="1" x14ac:dyDescent="0.35">
      <c r="A3" s="11">
        <v>48</v>
      </c>
      <c r="B3" s="11">
        <v>8</v>
      </c>
      <c r="C3" s="11">
        <v>1</v>
      </c>
      <c r="D3" s="12" t="s">
        <v>20</v>
      </c>
      <c r="E3" s="13">
        <f>AVERAGE(A3:A14)</f>
        <v>41.833333333333336</v>
      </c>
      <c r="F3" s="13">
        <f>AVERAGE(B3:B14)</f>
        <v>7</v>
      </c>
      <c r="H3" s="31">
        <f>(A3-$E$3)/$E$4</f>
        <v>0.3156769282447161</v>
      </c>
      <c r="I3" s="31">
        <f>(B3-$F$3)/$F$4</f>
        <v>0.2472066162365221</v>
      </c>
      <c r="K3" s="3">
        <v>-1</v>
      </c>
      <c r="L3" s="3">
        <v>2</v>
      </c>
      <c r="M3" s="3">
        <v>3.1</v>
      </c>
      <c r="N3" s="3">
        <v>-6</v>
      </c>
      <c r="P3" s="1">
        <f>1/(1+EXP(-(MMULT(H3:I3,$K$3:$K$4)-$K$6)))</f>
        <v>6.7959760875665684E-4</v>
      </c>
      <c r="Q3" s="1">
        <f>1/(1+EXP(-(MMULT(H3:I3,$L$3:$L$4)-$L$6)))</f>
        <v>0.7620650997989632</v>
      </c>
      <c r="R3" s="1">
        <f>1/(1+EXP(-(MMULT(H3:I3,$M$3:$M$4)-$M$6)))</f>
        <v>5.7382804708123201E-2</v>
      </c>
      <c r="S3" s="1">
        <f>1/(1+EXP(-(MMULT(H3:I3,$N$3:$N$4)-$N$6)))</f>
        <v>2.3052339006577282E-4</v>
      </c>
      <c r="U3" s="14" t="s">
        <v>46</v>
      </c>
      <c r="V3" s="33">
        <v>-12</v>
      </c>
      <c r="X3" s="15">
        <f>1/(1+EXP(-(MMULT($P3:$S3,V$3:V$6)-V$8)))</f>
        <v>0.94618084106117284</v>
      </c>
      <c r="Z3" s="15">
        <f>IF(OR(AND(C3=1,X3&lt;0.5),AND(C3=0,X3&gt;=0.5)),1,0)</f>
        <v>0</v>
      </c>
      <c r="AB3" s="16">
        <f>AVERAGE(Z3:Z14)</f>
        <v>8.3333333333333329E-2</v>
      </c>
    </row>
    <row r="4" spans="1:28" ht="20.399999999999999" thickBot="1" x14ac:dyDescent="0.35">
      <c r="A4" s="11">
        <v>46</v>
      </c>
      <c r="B4" s="11">
        <v>6</v>
      </c>
      <c r="C4" s="11">
        <v>0</v>
      </c>
      <c r="D4" s="12" t="s">
        <v>22</v>
      </c>
      <c r="E4" s="13">
        <f>STDEV(A3:A14)</f>
        <v>19.534739839733231</v>
      </c>
      <c r="F4" s="13">
        <f>STDEV(B3:B14)</f>
        <v>4.0451991747794525</v>
      </c>
      <c r="H4" s="31">
        <f t="shared" ref="H4:H14" si="0">(A4-$E$3)/$E$4</f>
        <v>0.2132952217869703</v>
      </c>
      <c r="I4" s="31">
        <f t="shared" ref="I4:I14" si="1">(B4-$F$3)/$F$4</f>
        <v>-0.2472066162365221</v>
      </c>
      <c r="K4" s="3">
        <v>-8</v>
      </c>
      <c r="L4" s="3">
        <v>6.2</v>
      </c>
      <c r="M4" s="3">
        <v>0.9</v>
      </c>
      <c r="N4" s="3">
        <v>2.1</v>
      </c>
      <c r="P4" s="1">
        <f t="shared" ref="P4:P14" si="2">1/(1+EXP(-(MMULT(H4:I4,$K$3:$K$4)-$K$6)))</f>
        <v>3.7846252534677965E-2</v>
      </c>
      <c r="Q4" s="1">
        <f t="shared" ref="Q4:Q14" si="3">1/(1+EXP(-(MMULT(H4:I4,$L$3:$L$4)-$L$6)))</f>
        <v>0.10850625720869142</v>
      </c>
      <c r="R4" s="1">
        <f t="shared" ref="R4:R14" si="4">1/(1+EXP(-(MMULT(H4:I4,$M$3:$M$4)-$M$6)))</f>
        <v>2.761827473676182E-2</v>
      </c>
      <c r="S4" s="1">
        <f t="shared" ref="S4:S14" si="5">1/(1+EXP(-(MMULT(H4:I4,$N$3:$N$4)-$N$6)))</f>
        <v>1.5087541746080306E-4</v>
      </c>
      <c r="U4" s="17" t="s">
        <v>47</v>
      </c>
      <c r="V4" s="33">
        <v>4</v>
      </c>
      <c r="X4" s="15">
        <f t="shared" ref="X4:X14" si="6">1/(1+EXP(-(MMULT($P4:$S4,V$3:V$6)-V$8)))</f>
        <v>0.4740884330863131</v>
      </c>
      <c r="Z4" s="15">
        <f t="shared" ref="Z4:Z14" si="7">IF(OR(AND(C4=1,X4&lt;0.5),AND(C4=0,X4&gt;=0.5)),1,0)</f>
        <v>0</v>
      </c>
    </row>
    <row r="5" spans="1:28" ht="20.399999999999999" thickBot="1" x14ac:dyDescent="0.35">
      <c r="A5" s="11">
        <v>65</v>
      </c>
      <c r="B5" s="11">
        <v>17</v>
      </c>
      <c r="C5" s="11">
        <v>0</v>
      </c>
      <c r="D5" s="12" t="s">
        <v>58</v>
      </c>
      <c r="E5">
        <f>MIN(A3:A14)</f>
        <v>18</v>
      </c>
      <c r="F5">
        <f>MIN(B3:B14)</f>
        <v>2</v>
      </c>
      <c r="H5" s="31">
        <f t="shared" si="0"/>
        <v>1.1859214331355554</v>
      </c>
      <c r="I5" s="31">
        <f t="shared" si="1"/>
        <v>2.4720661623652211</v>
      </c>
      <c r="K5" s="18"/>
      <c r="L5" s="18"/>
      <c r="M5" s="18"/>
      <c r="N5" s="18"/>
      <c r="P5" s="1">
        <f t="shared" si="2"/>
        <v>5.3045788623157626E-12</v>
      </c>
      <c r="Q5" s="1">
        <f t="shared" si="3"/>
        <v>0.99999994404136783</v>
      </c>
      <c r="R5" s="1">
        <f t="shared" si="4"/>
        <v>0.87002908967913106</v>
      </c>
      <c r="S5" s="1">
        <f t="shared" si="5"/>
        <v>1.3311158742760127E-4</v>
      </c>
      <c r="U5" s="17" t="s">
        <v>48</v>
      </c>
      <c r="V5" s="33">
        <v>-3</v>
      </c>
      <c r="X5" s="15">
        <f t="shared" si="6"/>
        <v>0.80047199565567351</v>
      </c>
      <c r="Z5" s="15">
        <f t="shared" si="7"/>
        <v>1</v>
      </c>
    </row>
    <row r="6" spans="1:28" ht="20.399999999999999" thickBot="1" x14ac:dyDescent="0.35">
      <c r="A6" s="11">
        <v>18</v>
      </c>
      <c r="B6" s="11">
        <v>5</v>
      </c>
      <c r="C6" s="11">
        <v>0</v>
      </c>
      <c r="D6" s="12" t="s">
        <v>59</v>
      </c>
      <c r="E6">
        <f>MAX(A3:A14)</f>
        <v>71</v>
      </c>
      <c r="F6">
        <f>MAX(B3:B14)</f>
        <v>17</v>
      </c>
      <c r="H6" s="31">
        <f t="shared" si="0"/>
        <v>-1.2200486686214711</v>
      </c>
      <c r="I6" s="31">
        <f t="shared" si="1"/>
        <v>-0.4944132324730442</v>
      </c>
      <c r="J6" s="14" t="s">
        <v>23</v>
      </c>
      <c r="K6" s="11">
        <v>5</v>
      </c>
      <c r="L6" s="11">
        <v>1</v>
      </c>
      <c r="M6" s="11">
        <v>4</v>
      </c>
      <c r="N6" s="11">
        <v>7</v>
      </c>
      <c r="P6" s="1">
        <f t="shared" si="2"/>
        <v>0.54372664283597893</v>
      </c>
      <c r="Q6" s="1">
        <f t="shared" si="3"/>
        <v>1.4930212678089631E-3</v>
      </c>
      <c r="R6" s="1">
        <f t="shared" si="4"/>
        <v>2.6723288519220524E-4</v>
      </c>
      <c r="S6" s="1">
        <f t="shared" si="5"/>
        <v>0.32783888639947606</v>
      </c>
      <c r="U6" s="17" t="s">
        <v>49</v>
      </c>
      <c r="V6" s="33">
        <v>-5</v>
      </c>
      <c r="X6" s="15">
        <f t="shared" si="6"/>
        <v>2.8613983290398914E-4</v>
      </c>
      <c r="Z6" s="15">
        <f t="shared" si="7"/>
        <v>0</v>
      </c>
    </row>
    <row r="7" spans="1:28" ht="16.8" thickBot="1" x14ac:dyDescent="0.35">
      <c r="A7" s="11">
        <v>22</v>
      </c>
      <c r="B7" s="11">
        <v>3</v>
      </c>
      <c r="C7" s="11">
        <v>0</v>
      </c>
      <c r="H7" s="31">
        <f t="shared" si="0"/>
        <v>-1.0152852557059793</v>
      </c>
      <c r="I7" s="31">
        <f t="shared" si="1"/>
        <v>-0.98882646494608839</v>
      </c>
      <c r="P7" s="1">
        <f t="shared" si="2"/>
        <v>0.98065709137253976</v>
      </c>
      <c r="Q7" s="1">
        <f t="shared" si="3"/>
        <v>1.0501581339277457E-4</v>
      </c>
      <c r="R7" s="1">
        <f t="shared" si="4"/>
        <v>3.2306686938565841E-4</v>
      </c>
      <c r="S7" s="1">
        <f t="shared" si="5"/>
        <v>4.8116200349116345E-2</v>
      </c>
      <c r="U7" s="12"/>
      <c r="V7" s="34"/>
      <c r="X7" s="15">
        <f t="shared" si="6"/>
        <v>6.0890326901992512E-6</v>
      </c>
      <c r="Z7" s="15">
        <f t="shared" si="7"/>
        <v>0</v>
      </c>
    </row>
    <row r="8" spans="1:28" ht="16.8" thickBot="1" x14ac:dyDescent="0.35">
      <c r="A8" s="11">
        <v>18</v>
      </c>
      <c r="B8" s="11">
        <v>3</v>
      </c>
      <c r="C8" s="11">
        <v>0</v>
      </c>
      <c r="H8" s="31">
        <f t="shared" si="0"/>
        <v>-1.2200486686214711</v>
      </c>
      <c r="I8" s="31">
        <f t="shared" si="1"/>
        <v>-0.98882646494608839</v>
      </c>
      <c r="P8" s="1">
        <f t="shared" si="2"/>
        <v>0.98418197012520137</v>
      </c>
      <c r="Q8" s="1">
        <f t="shared" si="3"/>
        <v>6.9729216600044388E-5</v>
      </c>
      <c r="R8" s="1">
        <f t="shared" si="4"/>
        <v>1.7127056911477604E-4</v>
      </c>
      <c r="S8" s="1">
        <f t="shared" si="5"/>
        <v>0.1472614312868816</v>
      </c>
      <c r="U8" s="17" t="s">
        <v>23</v>
      </c>
      <c r="V8" s="33">
        <v>0</v>
      </c>
      <c r="X8" s="15">
        <f t="shared" si="6"/>
        <v>3.5565156254214823E-6</v>
      </c>
      <c r="Z8" s="15">
        <f t="shared" si="7"/>
        <v>0</v>
      </c>
    </row>
    <row r="9" spans="1:28" x14ac:dyDescent="0.3">
      <c r="A9" s="11">
        <v>71</v>
      </c>
      <c r="B9" s="11">
        <v>2</v>
      </c>
      <c r="C9" s="11">
        <v>0</v>
      </c>
      <c r="H9" s="31">
        <f t="shared" si="0"/>
        <v>1.4930665525087929</v>
      </c>
      <c r="I9" s="31">
        <f t="shared" si="1"/>
        <v>-1.2360330811826106</v>
      </c>
      <c r="P9" s="1">
        <f t="shared" si="2"/>
        <v>0.96755412647190586</v>
      </c>
      <c r="Q9" s="1">
        <f t="shared" si="3"/>
        <v>3.4112071857004076E-3</v>
      </c>
      <c r="R9" s="1">
        <f t="shared" si="4"/>
        <v>0.38132608621603109</v>
      </c>
      <c r="S9" s="1">
        <f t="shared" si="5"/>
        <v>8.7512543349296867E-9</v>
      </c>
      <c r="X9" s="15">
        <f t="shared" si="6"/>
        <v>2.9286004243427693E-6</v>
      </c>
      <c r="Z9" s="15">
        <f t="shared" si="7"/>
        <v>0</v>
      </c>
      <c r="AB9" s="27" t="s">
        <v>32</v>
      </c>
    </row>
    <row r="10" spans="1:28" x14ac:dyDescent="0.3">
      <c r="A10" s="11">
        <v>46</v>
      </c>
      <c r="B10" s="11">
        <v>9</v>
      </c>
      <c r="C10" s="11">
        <v>1</v>
      </c>
      <c r="H10" s="31">
        <f t="shared" si="0"/>
        <v>0.2132952217869703</v>
      </c>
      <c r="I10" s="31">
        <f t="shared" si="1"/>
        <v>0.4944132324730442</v>
      </c>
      <c r="P10" s="1">
        <f t="shared" si="2"/>
        <v>1.0425139267325234E-4</v>
      </c>
      <c r="Q10" s="1">
        <f t="shared" si="3"/>
        <v>0.92357573008922855</v>
      </c>
      <c r="R10" s="1">
        <f t="shared" si="4"/>
        <v>5.2460262197667279E-2</v>
      </c>
      <c r="S10" s="1">
        <f t="shared" si="5"/>
        <v>7.1572143768512317E-4</v>
      </c>
      <c r="X10" s="15">
        <f t="shared" si="6"/>
        <v>0.97158723408792391</v>
      </c>
      <c r="Z10" s="15">
        <f t="shared" si="7"/>
        <v>0</v>
      </c>
      <c r="AB10" s="15">
        <f>SUMXMY2(B3:B14,X3:X14)</f>
        <v>659.07966723677498</v>
      </c>
    </row>
    <row r="11" spans="1:28" x14ac:dyDescent="0.3">
      <c r="A11" s="11">
        <v>58</v>
      </c>
      <c r="B11" s="11">
        <v>9</v>
      </c>
      <c r="C11" s="11">
        <v>1</v>
      </c>
      <c r="H11" s="31">
        <f t="shared" si="0"/>
        <v>0.82758546053344517</v>
      </c>
      <c r="I11" s="31">
        <f t="shared" si="1"/>
        <v>0.4944132324730442</v>
      </c>
      <c r="P11" s="1">
        <f t="shared" si="2"/>
        <v>5.6405283363378388E-5</v>
      </c>
      <c r="Q11" s="1">
        <f t="shared" si="3"/>
        <v>0.97635173055334923</v>
      </c>
      <c r="R11" s="1">
        <f t="shared" si="4"/>
        <v>0.27100824777363691</v>
      </c>
      <c r="S11" s="1">
        <f t="shared" si="5"/>
        <v>1.796180611456282E-5</v>
      </c>
      <c r="X11" s="15">
        <f t="shared" si="6"/>
        <v>0.95654556497280274</v>
      </c>
      <c r="Z11" s="15">
        <f t="shared" si="7"/>
        <v>0</v>
      </c>
    </row>
    <row r="12" spans="1:28" x14ac:dyDescent="0.3">
      <c r="A12" s="11">
        <v>20</v>
      </c>
      <c r="B12" s="11">
        <v>5</v>
      </c>
      <c r="C12" s="11">
        <v>0</v>
      </c>
      <c r="H12" s="31">
        <f t="shared" si="0"/>
        <v>-1.1176669621637252</v>
      </c>
      <c r="I12" s="31">
        <f t="shared" si="1"/>
        <v>-0.4944132324730442</v>
      </c>
      <c r="P12" s="1">
        <f t="shared" si="2"/>
        <v>0.51823511432335034</v>
      </c>
      <c r="Q12" s="1">
        <f t="shared" si="3"/>
        <v>1.8316660595119768E-3</v>
      </c>
      <c r="R12" s="1">
        <f t="shared" si="4"/>
        <v>3.6701546392430565E-4</v>
      </c>
      <c r="S12" s="1">
        <f t="shared" si="5"/>
        <v>0.20878478675372866</v>
      </c>
      <c r="X12" s="15">
        <f t="shared" si="6"/>
        <v>7.0506187126240694E-4</v>
      </c>
      <c r="Z12" s="15">
        <f t="shared" si="7"/>
        <v>0</v>
      </c>
    </row>
    <row r="13" spans="1:28" x14ac:dyDescent="0.3">
      <c r="A13" s="11">
        <v>30</v>
      </c>
      <c r="B13" s="11">
        <v>9</v>
      </c>
      <c r="C13" s="11">
        <v>1</v>
      </c>
      <c r="H13" s="31">
        <f t="shared" si="0"/>
        <v>-0.60575842987499617</v>
      </c>
      <c r="I13" s="31">
        <f t="shared" si="1"/>
        <v>0.4944132324730442</v>
      </c>
      <c r="P13" s="1">
        <f t="shared" si="2"/>
        <v>2.3644760794178086E-4</v>
      </c>
      <c r="Q13" s="1">
        <f t="shared" si="3"/>
        <v>0.70137313447537775</v>
      </c>
      <c r="R13" s="1">
        <f t="shared" si="4"/>
        <v>4.351475941404559E-3</v>
      </c>
      <c r="S13" s="1">
        <f t="shared" si="5"/>
        <v>8.889666992537204E-2</v>
      </c>
      <c r="X13" s="15">
        <f t="shared" si="6"/>
        <v>0.91254534837163992</v>
      </c>
      <c r="Z13" s="15">
        <f t="shared" si="7"/>
        <v>0</v>
      </c>
    </row>
    <row r="14" spans="1:28" x14ac:dyDescent="0.3">
      <c r="A14" s="11">
        <v>60</v>
      </c>
      <c r="B14" s="11">
        <v>8</v>
      </c>
      <c r="C14" s="11">
        <v>1</v>
      </c>
      <c r="H14" s="31">
        <f t="shared" si="0"/>
        <v>0.92996716699119097</v>
      </c>
      <c r="I14" s="31">
        <f t="shared" si="1"/>
        <v>0.2472066162365221</v>
      </c>
      <c r="P14" s="1">
        <f t="shared" si="2"/>
        <v>3.6779385315884267E-4</v>
      </c>
      <c r="Q14" s="1">
        <f t="shared" si="3"/>
        <v>0.91626245126474304</v>
      </c>
      <c r="R14" s="1">
        <f t="shared" si="4"/>
        <v>0.29015820187649438</v>
      </c>
      <c r="S14" s="1">
        <f t="shared" si="5"/>
        <v>5.7824974121944182E-6</v>
      </c>
      <c r="X14" s="15">
        <f t="shared" si="6"/>
        <v>0.94214028219611601</v>
      </c>
      <c r="Z14" s="15">
        <f t="shared" si="7"/>
        <v>0</v>
      </c>
    </row>
    <row r="15" spans="1:28" s="22" customFormat="1" x14ac:dyDescent="0.3">
      <c r="A15" s="37" t="s">
        <v>1</v>
      </c>
      <c r="B15" s="36"/>
      <c r="C15" s="36"/>
      <c r="D15" s="36" t="s">
        <v>2</v>
      </c>
      <c r="E15" s="36"/>
      <c r="F15" s="36"/>
      <c r="H15" s="36" t="s">
        <v>24</v>
      </c>
      <c r="I15" s="38"/>
      <c r="J15" s="23"/>
      <c r="K15" s="35" t="s">
        <v>25</v>
      </c>
      <c r="L15" s="36"/>
      <c r="M15" s="36"/>
      <c r="N15" s="36"/>
      <c r="P15" s="37" t="s">
        <v>26</v>
      </c>
      <c r="Q15" s="36"/>
      <c r="R15" s="36"/>
      <c r="S15" s="36"/>
      <c r="U15" s="35" t="s">
        <v>6</v>
      </c>
      <c r="V15" s="36"/>
      <c r="X15" s="5" t="s">
        <v>27</v>
      </c>
      <c r="Z15" s="5" t="s">
        <v>8</v>
      </c>
      <c r="AB15" s="26" t="s">
        <v>28</v>
      </c>
    </row>
    <row r="16" spans="1:28" s="19" customFormat="1" ht="20.399999999999999" thickBot="1" x14ac:dyDescent="0.35">
      <c r="A16" s="6" t="s">
        <v>0</v>
      </c>
      <c r="B16" s="6" t="s">
        <v>10</v>
      </c>
      <c r="C16" s="7" t="s">
        <v>12</v>
      </c>
      <c r="D16" s="12"/>
      <c r="E16" s="6" t="s">
        <v>13</v>
      </c>
      <c r="F16" s="6" t="s">
        <v>14</v>
      </c>
      <c r="H16" s="6" t="s">
        <v>29</v>
      </c>
      <c r="I16" s="6" t="s">
        <v>10</v>
      </c>
      <c r="J16" s="12"/>
      <c r="K16" s="9" t="s">
        <v>16</v>
      </c>
      <c r="L16" s="9" t="s">
        <v>17</v>
      </c>
      <c r="M16" s="9" t="s">
        <v>18</v>
      </c>
      <c r="N16" s="9" t="s">
        <v>19</v>
      </c>
      <c r="P16" s="10" t="s">
        <v>39</v>
      </c>
      <c r="Q16" s="10" t="s">
        <v>40</v>
      </c>
      <c r="R16" s="10" t="s">
        <v>41</v>
      </c>
      <c r="S16" s="10" t="s">
        <v>42</v>
      </c>
      <c r="X16" s="7" t="s">
        <v>31</v>
      </c>
    </row>
    <row r="17" spans="1:28" ht="20.399999999999999" thickBot="1" x14ac:dyDescent="0.35">
      <c r="A17" s="3">
        <v>40</v>
      </c>
      <c r="B17" s="3">
        <v>15</v>
      </c>
      <c r="C17" s="20">
        <v>1</v>
      </c>
      <c r="D17" s="12" t="s">
        <v>20</v>
      </c>
      <c r="E17" s="13">
        <f>AVERAGE(A17:A28)</f>
        <v>43.25</v>
      </c>
      <c r="F17" s="13">
        <f>AVERAGE(B17:B28)</f>
        <v>10.166666666666666</v>
      </c>
      <c r="H17" s="31">
        <f>(A17-$E$17)/$E$18</f>
        <v>-0.19198591893272582</v>
      </c>
      <c r="I17" s="31">
        <f>(B17-$F$17)/$F$18</f>
        <v>0.9260274735235613</v>
      </c>
      <c r="K17" s="3">
        <v>-1</v>
      </c>
      <c r="L17" s="3">
        <v>2</v>
      </c>
      <c r="M17" s="3">
        <v>3.1</v>
      </c>
      <c r="N17" s="3">
        <v>-6</v>
      </c>
      <c r="P17" s="1">
        <f>1/(1+EXP(-(MMULT(H17:I17,$K$17:$K$18)-$K$20)))</f>
        <v>4.9494266385196402E-6</v>
      </c>
      <c r="Q17" s="1">
        <f>1/(1+EXP(-(MMULT(H17:I17,$L$17:$L$18)-$L$20)))</f>
        <v>0.98735038876527126</v>
      </c>
      <c r="R17" s="1">
        <f>1/(1+EXP(-(MMULT(H17:I17,$M$17:$M$18)-$M$20)))</f>
        <v>2.2715470559494015E-2</v>
      </c>
      <c r="S17" s="1">
        <f>1/(1+EXP(-(MMULT(H17:I17,$N$17:$N$18)-$N$20)))</f>
        <v>1.9773775581968443E-2</v>
      </c>
      <c r="U17" s="14" t="s">
        <v>50</v>
      </c>
      <c r="V17" s="21">
        <v>-12</v>
      </c>
      <c r="X17" s="15">
        <f>1/(1+EXP(-(MMULT($P17:$S17,V$17:V$20)-V$22)))</f>
        <v>0.97773726691619522</v>
      </c>
      <c r="Z17" s="15">
        <f>IF(OR(AND(C17=1,X17&lt;0.5),AND(C17=0,X17&gt;=0.5)),1,0)</f>
        <v>0</v>
      </c>
      <c r="AB17" s="16">
        <f>AVERAGE(Z17:Z28)</f>
        <v>8.3333333333333329E-2</v>
      </c>
    </row>
    <row r="18" spans="1:28" ht="20.399999999999999" thickBot="1" x14ac:dyDescent="0.35">
      <c r="A18" s="3">
        <v>43</v>
      </c>
      <c r="B18" s="3">
        <v>11</v>
      </c>
      <c r="C18" s="20">
        <v>1</v>
      </c>
      <c r="D18" s="12" t="s">
        <v>21</v>
      </c>
      <c r="E18" s="13">
        <f>STDEV(A17:A28)</f>
        <v>16.928324837921259</v>
      </c>
      <c r="F18" s="13">
        <f>STDEV(B17:B28)</f>
        <v>5.2194275780418922</v>
      </c>
      <c r="H18" s="31">
        <f t="shared" ref="H18:H28" si="8">(A18-$E$17)/$E$18</f>
        <v>-1.4768147610209678E-2</v>
      </c>
      <c r="I18" s="31">
        <f t="shared" ref="I18:I28" si="9">(B18-$F$17)/$F$18</f>
        <v>0.15965990922820031</v>
      </c>
      <c r="K18" s="3">
        <v>-8</v>
      </c>
      <c r="L18" s="3">
        <v>6.2</v>
      </c>
      <c r="M18" s="3">
        <v>0.9</v>
      </c>
      <c r="N18" s="3">
        <v>2.1</v>
      </c>
      <c r="P18" s="1">
        <f t="shared" ref="P18:P28" si="10">1/(1+EXP(-(MMULT(H18:I18,$K$17:$K$18)-$K$20)))</f>
        <v>1.9028247931254965E-3</v>
      </c>
      <c r="Q18" s="1">
        <f t="shared" ref="Q18:Q28" si="11">1/(1+EXP(-(MMULT(H18:I18,$L$17:$L$18)-$L$20)))</f>
        <v>0.49009008342812388</v>
      </c>
      <c r="R18" s="1">
        <f t="shared" ref="R18:R28" si="12">1/(1+EXP(-(MMULT(H18:I18,$M$17:$M$18)-$M$20)))</f>
        <v>1.97997545973203E-2</v>
      </c>
      <c r="S18" s="1">
        <f t="shared" ref="S18:S28" si="13">1/(1+EXP(-(MMULT(H18:I18,$N$17:$N$18)-$N$20)))</f>
        <v>1.3913265974106956E-3</v>
      </c>
      <c r="U18" s="17" t="s">
        <v>51</v>
      </c>
      <c r="V18" s="21">
        <v>4</v>
      </c>
      <c r="X18" s="15">
        <f t="shared" ref="X18:X28" si="14">1/(1+EXP(-(MMULT($P18:$S18,V$17:V$20)-V$22)))</f>
        <v>0.86659366054028486</v>
      </c>
      <c r="Z18" s="15">
        <f t="shared" ref="Z18:Z28" si="15">IF(OR(AND(C18=1,X18&lt;0.5),AND(C18=0,X18&gt;=0.5)),1,0)</f>
        <v>0</v>
      </c>
    </row>
    <row r="19" spans="1:28" ht="20.399999999999999" thickBot="1" x14ac:dyDescent="0.35">
      <c r="A19" s="3">
        <v>50</v>
      </c>
      <c r="B19" s="3">
        <v>9</v>
      </c>
      <c r="C19" s="20">
        <v>1</v>
      </c>
      <c r="D19" s="12" t="s">
        <v>58</v>
      </c>
      <c r="E19">
        <f>MIN(A17:A28)</f>
        <v>17</v>
      </c>
      <c r="F19">
        <f>MIN(B17:B28)</f>
        <v>1</v>
      </c>
      <c r="H19" s="31">
        <f t="shared" si="8"/>
        <v>0.39873998547566131</v>
      </c>
      <c r="I19" s="31">
        <f t="shared" si="9"/>
        <v>-0.22352387291948017</v>
      </c>
      <c r="K19" s="18"/>
      <c r="L19" s="18"/>
      <c r="M19" s="18"/>
      <c r="N19" s="18"/>
      <c r="P19" s="1">
        <f t="shared" si="10"/>
        <v>2.6325243819188722E-2</v>
      </c>
      <c r="Q19" s="1">
        <f t="shared" si="11"/>
        <v>0.1696136260079314</v>
      </c>
      <c r="R19" s="1">
        <f t="shared" si="12"/>
        <v>4.9028723860064696E-2</v>
      </c>
      <c r="S19" s="1">
        <f t="shared" si="13"/>
        <v>5.2123629488744519E-5</v>
      </c>
      <c r="U19" s="17" t="s">
        <v>52</v>
      </c>
      <c r="V19" s="21">
        <v>-3</v>
      </c>
      <c r="X19" s="15">
        <f t="shared" si="14"/>
        <v>0.55359451259622994</v>
      </c>
      <c r="Z19" s="15">
        <f t="shared" si="15"/>
        <v>0</v>
      </c>
    </row>
    <row r="20" spans="1:28" ht="20.399999999999999" thickBot="1" x14ac:dyDescent="0.35">
      <c r="A20" s="3">
        <v>57</v>
      </c>
      <c r="B20" s="3">
        <v>14</v>
      </c>
      <c r="C20" s="20">
        <v>1</v>
      </c>
      <c r="D20" s="12" t="s">
        <v>59</v>
      </c>
      <c r="E20">
        <f>MAX(A17:A28)</f>
        <v>71</v>
      </c>
      <c r="F20">
        <f>MAX(B17:B28)</f>
        <v>19</v>
      </c>
      <c r="H20" s="31">
        <f t="shared" si="8"/>
        <v>0.81224811856153234</v>
      </c>
      <c r="I20" s="31">
        <f t="shared" si="9"/>
        <v>0.73443558244972107</v>
      </c>
      <c r="J20" s="32" t="s">
        <v>23</v>
      </c>
      <c r="K20" s="11">
        <v>5</v>
      </c>
      <c r="L20" s="11">
        <v>1</v>
      </c>
      <c r="M20" s="11">
        <v>4</v>
      </c>
      <c r="N20" s="11">
        <v>7</v>
      </c>
      <c r="P20" s="1">
        <f t="shared" si="10"/>
        <v>8.3961173911230477E-6</v>
      </c>
      <c r="Q20" s="1">
        <f t="shared" si="11"/>
        <v>0.99439233181133291</v>
      </c>
      <c r="R20" s="1">
        <f t="shared" si="12"/>
        <v>0.3055431942366445</v>
      </c>
      <c r="S20" s="1">
        <f t="shared" si="13"/>
        <v>3.2599728805204626E-5</v>
      </c>
      <c r="U20" s="17" t="s">
        <v>53</v>
      </c>
      <c r="V20" s="21">
        <v>-5</v>
      </c>
      <c r="X20" s="15">
        <f t="shared" si="14"/>
        <v>0.95524120820387526</v>
      </c>
      <c r="Z20" s="15">
        <f t="shared" si="15"/>
        <v>0</v>
      </c>
    </row>
    <row r="21" spans="1:28" ht="16.8" thickBot="1" x14ac:dyDescent="0.35">
      <c r="A21" s="3">
        <v>71</v>
      </c>
      <c r="B21" s="3">
        <v>5</v>
      </c>
      <c r="C21" s="24">
        <v>0</v>
      </c>
      <c r="H21" s="31">
        <f t="shared" si="8"/>
        <v>1.6392643847332744</v>
      </c>
      <c r="I21" s="31">
        <f t="shared" si="9"/>
        <v>-0.98989143721484119</v>
      </c>
      <c r="P21" s="1">
        <f t="shared" si="10"/>
        <v>0.78242715526424422</v>
      </c>
      <c r="Q21" s="1">
        <f t="shared" si="11"/>
        <v>2.0657597861956166E-2</v>
      </c>
      <c r="R21" s="1">
        <f t="shared" si="12"/>
        <v>0.54756010209672712</v>
      </c>
      <c r="S21" s="1">
        <f t="shared" si="13"/>
        <v>6.1037754398609908E-9</v>
      </c>
      <c r="V21" s="18"/>
      <c r="X21" s="15">
        <f t="shared" si="14"/>
        <v>1.7572183645589689E-5</v>
      </c>
      <c r="Z21" s="15">
        <f t="shared" si="15"/>
        <v>0</v>
      </c>
    </row>
    <row r="22" spans="1:28" ht="16.8" thickBot="1" x14ac:dyDescent="0.35">
      <c r="A22" s="3">
        <v>20</v>
      </c>
      <c r="B22" s="3">
        <v>5</v>
      </c>
      <c r="C22" s="24">
        <v>0</v>
      </c>
      <c r="H22" s="31">
        <f t="shared" si="8"/>
        <v>-1.3734377277495002</v>
      </c>
      <c r="I22" s="31">
        <f t="shared" si="9"/>
        <v>-0.98989143721484119</v>
      </c>
      <c r="P22" s="1">
        <f t="shared" si="10"/>
        <v>0.98651458295891625</v>
      </c>
      <c r="Q22" s="1">
        <f t="shared" si="11"/>
        <v>5.0971019158554392E-5</v>
      </c>
      <c r="R22" s="1">
        <f t="shared" si="12"/>
        <v>1.0636163527423272E-4</v>
      </c>
      <c r="S22" s="1">
        <f t="shared" si="13"/>
        <v>0.30192547486324456</v>
      </c>
      <c r="U22" s="17" t="s">
        <v>30</v>
      </c>
      <c r="V22" s="21">
        <v>0</v>
      </c>
      <c r="X22" s="15">
        <f t="shared" si="14"/>
        <v>1.5961450704448838E-6</v>
      </c>
      <c r="Z22" s="15">
        <f t="shared" si="15"/>
        <v>0</v>
      </c>
    </row>
    <row r="23" spans="1:28" x14ac:dyDescent="0.3">
      <c r="A23" s="3">
        <v>53</v>
      </c>
      <c r="B23" s="3">
        <v>12</v>
      </c>
      <c r="C23" s="20">
        <v>1</v>
      </c>
      <c r="H23" s="31">
        <f t="shared" si="8"/>
        <v>0.57595775679817751</v>
      </c>
      <c r="I23" s="31">
        <f t="shared" si="9"/>
        <v>0.35125180030204056</v>
      </c>
      <c r="P23" s="1">
        <f t="shared" si="10"/>
        <v>2.2799196356062038E-4</v>
      </c>
      <c r="Q23" s="1">
        <f t="shared" si="11"/>
        <v>0.9113052065364764</v>
      </c>
      <c r="R23" s="1">
        <f t="shared" si="12"/>
        <v>0.13028917891147673</v>
      </c>
      <c r="S23" s="1">
        <f t="shared" si="13"/>
        <v>6.0179551374537906E-5</v>
      </c>
      <c r="X23" s="15">
        <f t="shared" si="14"/>
        <v>0.96272038999666165</v>
      </c>
      <c r="Z23" s="15">
        <f t="shared" si="15"/>
        <v>0</v>
      </c>
      <c r="AB23" s="27" t="s">
        <v>32</v>
      </c>
    </row>
    <row r="24" spans="1:28" x14ac:dyDescent="0.3">
      <c r="A24" s="3">
        <v>62</v>
      </c>
      <c r="B24" s="3">
        <v>1</v>
      </c>
      <c r="C24" s="20">
        <v>0</v>
      </c>
      <c r="H24" s="31">
        <f t="shared" si="8"/>
        <v>1.1076110707657258</v>
      </c>
      <c r="I24" s="31">
        <f t="shared" si="9"/>
        <v>-1.7562590015102022</v>
      </c>
      <c r="P24" s="1">
        <f t="shared" si="10"/>
        <v>0.99964479526241989</v>
      </c>
      <c r="Q24" s="1">
        <f t="shared" si="11"/>
        <v>6.2919993076898504E-5</v>
      </c>
      <c r="R24" s="1">
        <f t="shared" si="12"/>
        <v>0.10460826213961712</v>
      </c>
      <c r="S24" s="1">
        <f t="shared" si="13"/>
        <v>2.9649802949337144E-8</v>
      </c>
      <c r="X24" s="15">
        <f t="shared" si="14"/>
        <v>4.5095404411313064E-6</v>
      </c>
      <c r="Z24" s="15">
        <f t="shared" si="15"/>
        <v>0</v>
      </c>
      <c r="AB24" s="15">
        <f>SUMXMY2(B17:B28,X17:X28)</f>
        <v>1387.0428774980574</v>
      </c>
    </row>
    <row r="25" spans="1:28" x14ac:dyDescent="0.3">
      <c r="A25" s="3">
        <v>33</v>
      </c>
      <c r="B25" s="3">
        <v>6</v>
      </c>
      <c r="C25" s="20">
        <v>1</v>
      </c>
      <c r="H25" s="31">
        <f t="shared" si="8"/>
        <v>-0.60549405201859685</v>
      </c>
      <c r="I25" s="31">
        <f t="shared" si="9"/>
        <v>-0.79829954614100085</v>
      </c>
      <c r="P25" s="1">
        <f t="shared" si="10"/>
        <v>0.87994299139056864</v>
      </c>
      <c r="Q25" s="1">
        <f t="shared" si="11"/>
        <v>7.7610580746881818E-4</v>
      </c>
      <c r="R25" s="1">
        <f t="shared" si="12"/>
        <v>1.3646371335905016E-3</v>
      </c>
      <c r="S25" s="1">
        <f t="shared" si="13"/>
        <v>6.4100040824689175E-3</v>
      </c>
      <c r="X25" s="15">
        <f t="shared" si="14"/>
        <v>2.5106582074317582E-5</v>
      </c>
      <c r="Z25" s="15">
        <f t="shared" si="15"/>
        <v>1</v>
      </c>
    </row>
    <row r="26" spans="1:28" x14ac:dyDescent="0.3">
      <c r="A26" s="3">
        <v>25</v>
      </c>
      <c r="B26" s="3">
        <v>15</v>
      </c>
      <c r="C26" s="20">
        <v>0</v>
      </c>
      <c r="H26" s="31">
        <f t="shared" si="8"/>
        <v>-1.0780747755453066</v>
      </c>
      <c r="I26" s="31">
        <f t="shared" si="9"/>
        <v>0.9260274735235613</v>
      </c>
      <c r="P26" s="1">
        <f t="shared" si="10"/>
        <v>1.2005363879608812E-5</v>
      </c>
      <c r="Q26" s="1">
        <f t="shared" si="11"/>
        <v>0.92990433639429448</v>
      </c>
      <c r="R26" s="1">
        <f t="shared" si="12"/>
        <v>1.4883360578377526E-3</v>
      </c>
      <c r="S26" s="1">
        <f t="shared" si="13"/>
        <v>0.80425543393029786</v>
      </c>
      <c r="X26" s="15">
        <f t="shared" si="14"/>
        <v>0.42402571915429227</v>
      </c>
      <c r="Z26" s="15">
        <f t="shared" si="15"/>
        <v>0</v>
      </c>
    </row>
    <row r="27" spans="1:28" x14ac:dyDescent="0.3">
      <c r="A27" s="3">
        <v>48</v>
      </c>
      <c r="B27" s="3">
        <v>19</v>
      </c>
      <c r="C27" s="20">
        <v>1</v>
      </c>
      <c r="H27" s="31">
        <f t="shared" si="8"/>
        <v>0.28059480459398389</v>
      </c>
      <c r="I27" s="31">
        <f t="shared" si="9"/>
        <v>1.6923950378189223</v>
      </c>
      <c r="P27" s="1">
        <f t="shared" si="10"/>
        <v>6.7094080169601143E-9</v>
      </c>
      <c r="Q27" s="1">
        <f t="shared" si="11"/>
        <v>0.99995699016959905</v>
      </c>
      <c r="R27" s="1">
        <f t="shared" si="12"/>
        <v>0.16700546129499261</v>
      </c>
      <c r="S27" s="1">
        <f t="shared" si="13"/>
        <v>5.8844553867551715E-3</v>
      </c>
      <c r="X27" s="15">
        <f t="shared" si="14"/>
        <v>0.96980413750072547</v>
      </c>
      <c r="Z27" s="15">
        <f t="shared" si="15"/>
        <v>0</v>
      </c>
    </row>
    <row r="28" spans="1:28" x14ac:dyDescent="0.3">
      <c r="A28" s="3">
        <v>17</v>
      </c>
      <c r="B28" s="3">
        <v>10</v>
      </c>
      <c r="C28" s="20">
        <v>0</v>
      </c>
      <c r="H28" s="31">
        <f t="shared" si="8"/>
        <v>-1.5506554990720163</v>
      </c>
      <c r="I28" s="31">
        <f t="shared" si="9"/>
        <v>-3.1931981845639924E-2</v>
      </c>
      <c r="P28" s="1">
        <f t="shared" si="10"/>
        <v>3.9396352662363521E-2</v>
      </c>
      <c r="Q28" s="1">
        <f t="shared" si="11"/>
        <v>1.3396307983410688E-2</v>
      </c>
      <c r="R28" s="1">
        <f t="shared" si="12"/>
        <v>1.4541537484639378E-4</v>
      </c>
      <c r="S28" s="1">
        <f t="shared" si="13"/>
        <v>0.9035124436666403</v>
      </c>
      <c r="X28" s="15">
        <f t="shared" si="14"/>
        <v>7.1237662487070282E-3</v>
      </c>
      <c r="Z28" s="15">
        <f t="shared" si="15"/>
        <v>0</v>
      </c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15"/>
  <sheetViews>
    <sheetView zoomScale="70" zoomScaleNormal="70" workbookViewId="0">
      <selection activeCell="A3" sqref="A3"/>
    </sheetView>
  </sheetViews>
  <sheetFormatPr defaultRowHeight="16.2" x14ac:dyDescent="0.3"/>
  <cols>
    <col min="1" max="1" width="184.21875" customWidth="1"/>
  </cols>
  <sheetData>
    <row r="1" spans="1:1" s="28" customFormat="1" x14ac:dyDescent="0.3">
      <c r="A1" s="28" t="s">
        <v>36</v>
      </c>
    </row>
    <row r="2" spans="1:1" x14ac:dyDescent="0.3">
      <c r="A2" s="28" t="s">
        <v>35</v>
      </c>
    </row>
    <row r="3" spans="1:1" x14ac:dyDescent="0.3">
      <c r="A3" s="28" t="s">
        <v>60</v>
      </c>
    </row>
    <row r="4" spans="1:1" ht="59.4" customHeight="1" x14ac:dyDescent="0.3">
      <c r="A4" s="29" t="s">
        <v>56</v>
      </c>
    </row>
    <row r="5" spans="1:1" ht="36" customHeight="1" x14ac:dyDescent="0.3">
      <c r="A5" s="28"/>
    </row>
    <row r="10" spans="1:1" ht="15" customHeight="1" x14ac:dyDescent="0.3"/>
    <row r="14" spans="1:1" s="28" customFormat="1" ht="18.600000000000001" x14ac:dyDescent="0.3">
      <c r="A14" s="28" t="s">
        <v>54</v>
      </c>
    </row>
    <row r="15" spans="1:1" s="28" customFormat="1" ht="19.8" x14ac:dyDescent="0.3">
      <c r="A15" s="28" t="s">
        <v>55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3"/>
  <sheetViews>
    <sheetView tabSelected="1" workbookViewId="0">
      <selection activeCell="A9" sqref="A9"/>
    </sheetView>
  </sheetViews>
  <sheetFormatPr defaultRowHeight="16.2" x14ac:dyDescent="0.3"/>
  <cols>
    <col min="1" max="1" width="159.33203125" customWidth="1"/>
  </cols>
  <sheetData>
    <row r="1" spans="1:1" s="28" customFormat="1" x14ac:dyDescent="0.3">
      <c r="A1" s="28" t="s">
        <v>37</v>
      </c>
    </row>
    <row r="2" spans="1:1" s="28" customFormat="1" x14ac:dyDescent="0.3">
      <c r="A2" s="28" t="s">
        <v>34</v>
      </c>
    </row>
    <row r="3" spans="1:1" ht="161.4" customHeight="1" x14ac:dyDescent="0.3">
      <c r="A3" s="30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topLeftCell="A4" workbookViewId="0">
      <selection activeCell="T28" sqref="T28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2022-01-07T00:06:05Z</dcterms:created>
  <dcterms:modified xsi:type="dcterms:W3CDTF">2023-01-10T06:51:33Z</dcterms:modified>
</cp:coreProperties>
</file>