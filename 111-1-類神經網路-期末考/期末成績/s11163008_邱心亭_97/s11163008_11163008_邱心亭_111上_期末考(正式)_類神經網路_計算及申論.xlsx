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4.研究所\4-1.教學\1.人工智慧\期末考\hw100111993\s11163008_邱心亭_97\"/>
    </mc:Choice>
  </mc:AlternateContent>
  <bookViews>
    <workbookView xWindow="0" yWindow="0" windowWidth="23040" windowHeight="9132" activeTab="2"/>
  </bookViews>
  <sheets>
    <sheet name="1.(50)_神經網路_分類_期末考題目 陽光旅行社" sheetId="2" r:id="rId1"/>
    <sheet name="2.(3５)類神經網路申論題" sheetId="4" r:id="rId2"/>
    <sheet name="3.(15)KNN及類神經網路的不同" sheetId="6" r:id="rId3"/>
    <sheet name="附圖1" sheetId="3" r:id="rId4"/>
    <sheet name="附圖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2" l="1"/>
  <c r="R17" i="2"/>
  <c r="S17" i="2"/>
  <c r="Q18" i="2"/>
  <c r="R18" i="2"/>
  <c r="S18" i="2"/>
  <c r="Q19" i="2"/>
  <c r="R19" i="2"/>
  <c r="S19" i="2"/>
  <c r="Q20" i="2"/>
  <c r="R20" i="2"/>
  <c r="S20" i="2"/>
  <c r="Q21" i="2"/>
  <c r="R21" i="2"/>
  <c r="S21" i="2"/>
  <c r="Q22" i="2"/>
  <c r="R22" i="2"/>
  <c r="S22" i="2"/>
  <c r="Q23" i="2"/>
  <c r="R23" i="2"/>
  <c r="S23" i="2"/>
  <c r="Q24" i="2"/>
  <c r="R24" i="2"/>
  <c r="S24" i="2"/>
  <c r="Q25" i="2"/>
  <c r="R25" i="2"/>
  <c r="S25" i="2"/>
  <c r="Q26" i="2"/>
  <c r="R26" i="2"/>
  <c r="S26" i="2"/>
  <c r="Q27" i="2"/>
  <c r="R27" i="2"/>
  <c r="S27" i="2"/>
  <c r="Q28" i="2"/>
  <c r="R28" i="2"/>
  <c r="S28" i="2"/>
  <c r="P18" i="2"/>
  <c r="P19" i="2"/>
  <c r="P20" i="2"/>
  <c r="P21" i="2"/>
  <c r="P22" i="2"/>
  <c r="P23" i="2"/>
  <c r="P24" i="2"/>
  <c r="P25" i="2"/>
  <c r="P26" i="2"/>
  <c r="P27" i="2"/>
  <c r="P28" i="2"/>
  <c r="P17" i="2"/>
  <c r="I18" i="2"/>
  <c r="I19" i="2"/>
  <c r="I20" i="2"/>
  <c r="I21" i="2"/>
  <c r="I22" i="2"/>
  <c r="I23" i="2"/>
  <c r="I24" i="2"/>
  <c r="I25" i="2"/>
  <c r="I26" i="2"/>
  <c r="I27" i="2"/>
  <c r="I28" i="2"/>
  <c r="I17" i="2"/>
  <c r="H18" i="2"/>
  <c r="H19" i="2"/>
  <c r="H20" i="2"/>
  <c r="H21" i="2"/>
  <c r="H22" i="2"/>
  <c r="H23" i="2"/>
  <c r="H24" i="2"/>
  <c r="H25" i="2"/>
  <c r="H26" i="2"/>
  <c r="H27" i="2"/>
  <c r="H28" i="2"/>
  <c r="H17" i="2"/>
  <c r="F18" i="2"/>
  <c r="E18" i="2"/>
  <c r="F17" i="2"/>
  <c r="E17" i="2"/>
  <c r="X4" i="2"/>
  <c r="Z4" i="2" s="1"/>
  <c r="X5" i="2"/>
  <c r="Z5" i="2" s="1"/>
  <c r="X6" i="2"/>
  <c r="Z6" i="2" s="1"/>
  <c r="X7" i="2"/>
  <c r="Z7" i="2" s="1"/>
  <c r="X8" i="2"/>
  <c r="Z8" i="2" s="1"/>
  <c r="X9" i="2"/>
  <c r="Z9" i="2" s="1"/>
  <c r="X10" i="2"/>
  <c r="Z10" i="2" s="1"/>
  <c r="X11" i="2"/>
  <c r="Z11" i="2" s="1"/>
  <c r="X12" i="2"/>
  <c r="Z12" i="2" s="1"/>
  <c r="X13" i="2"/>
  <c r="Z13" i="2" s="1"/>
  <c r="X14" i="2"/>
  <c r="Z14" i="2" s="1"/>
  <c r="X3" i="2"/>
  <c r="S14" i="2"/>
  <c r="Q3" i="2"/>
  <c r="R3" i="2"/>
  <c r="S3" i="2"/>
  <c r="Q4" i="2"/>
  <c r="R4" i="2"/>
  <c r="S4" i="2"/>
  <c r="Q5" i="2"/>
  <c r="R5" i="2"/>
  <c r="S5" i="2"/>
  <c r="Q6" i="2"/>
  <c r="R6" i="2"/>
  <c r="S6" i="2"/>
  <c r="Q7" i="2"/>
  <c r="R7" i="2"/>
  <c r="S7" i="2"/>
  <c r="Q8" i="2"/>
  <c r="R8" i="2"/>
  <c r="S8" i="2"/>
  <c r="Q9" i="2"/>
  <c r="R9" i="2"/>
  <c r="S9" i="2"/>
  <c r="Q10" i="2"/>
  <c r="R10" i="2"/>
  <c r="S10" i="2"/>
  <c r="Q11" i="2"/>
  <c r="R11" i="2"/>
  <c r="S11" i="2"/>
  <c r="Q12" i="2"/>
  <c r="R12" i="2"/>
  <c r="S12" i="2"/>
  <c r="Q13" i="2"/>
  <c r="R13" i="2"/>
  <c r="S13" i="2"/>
  <c r="Q14" i="2"/>
  <c r="R14" i="2"/>
  <c r="P4" i="2"/>
  <c r="P5" i="2"/>
  <c r="P6" i="2"/>
  <c r="P7" i="2"/>
  <c r="P8" i="2"/>
  <c r="P9" i="2"/>
  <c r="P10" i="2"/>
  <c r="P11" i="2"/>
  <c r="P12" i="2"/>
  <c r="P13" i="2"/>
  <c r="P14" i="2"/>
  <c r="P3" i="2"/>
  <c r="I5" i="2"/>
  <c r="I4" i="2"/>
  <c r="I3" i="2"/>
  <c r="I6" i="2"/>
  <c r="I7" i="2"/>
  <c r="I8" i="2"/>
  <c r="I9" i="2"/>
  <c r="I10" i="2"/>
  <c r="I11" i="2"/>
  <c r="I12" i="2"/>
  <c r="I13" i="2"/>
  <c r="I14" i="2"/>
  <c r="H4" i="2"/>
  <c r="H5" i="2"/>
  <c r="H6" i="2"/>
  <c r="H7" i="2"/>
  <c r="H8" i="2"/>
  <c r="H9" i="2"/>
  <c r="H10" i="2"/>
  <c r="H11" i="2"/>
  <c r="H12" i="2"/>
  <c r="H13" i="2"/>
  <c r="H14" i="2"/>
  <c r="H3" i="2"/>
  <c r="X20" i="2" l="1"/>
  <c r="Z20" i="2" s="1"/>
  <c r="X19" i="2"/>
  <c r="Z19" i="2" s="1"/>
  <c r="X18" i="2"/>
  <c r="Z18" i="2" s="1"/>
  <c r="X21" i="2"/>
  <c r="Z21" i="2" s="1"/>
  <c r="X26" i="2"/>
  <c r="Z26" i="2" s="1"/>
  <c r="X25" i="2"/>
  <c r="Z25" i="2" s="1"/>
  <c r="X24" i="2"/>
  <c r="Z24" i="2" s="1"/>
  <c r="X23" i="2"/>
  <c r="Z23" i="2" s="1"/>
  <c r="X28" i="2"/>
  <c r="Z28" i="2" s="1"/>
  <c r="X17" i="2"/>
  <c r="Z17" i="2" s="1"/>
  <c r="X22" i="2"/>
  <c r="Z22" i="2" s="1"/>
  <c r="X27" i="2"/>
  <c r="Z27" i="2" s="1"/>
  <c r="AB10" i="2"/>
  <c r="Z3" i="2"/>
  <c r="AB3" i="2" s="1"/>
  <c r="F4" i="2"/>
  <c r="E4" i="2"/>
  <c r="F3" i="2"/>
  <c r="E3" i="2"/>
  <c r="AB17" i="2" l="1"/>
  <c r="AB24" i="2"/>
</calcChain>
</file>

<file path=xl/sharedStrings.xml><?xml version="1.0" encoding="utf-8"?>
<sst xmlns="http://schemas.openxmlformats.org/spreadsheetml/2006/main" count="77" uniqueCount="59">
  <si>
    <t>Age</t>
    <phoneticPr fontId="2" type="noConversion"/>
  </si>
  <si>
    <t>樣本</t>
    <phoneticPr fontId="1" type="noConversion"/>
  </si>
  <si>
    <t>平均值/標準差</t>
    <phoneticPr fontId="1" type="noConversion"/>
  </si>
  <si>
    <t>資料正規化</t>
    <phoneticPr fontId="1" type="noConversion"/>
  </si>
  <si>
    <t>萃取係數</t>
    <phoneticPr fontId="1" type="noConversion"/>
  </si>
  <si>
    <t>依據萃取系數-(萃)取出每一樣本, 4個角度的特徵值</t>
    <phoneticPr fontId="1" type="noConversion"/>
  </si>
  <si>
    <t>權重</t>
    <phoneticPr fontId="1" type="noConversion"/>
  </si>
  <si>
    <t>Outcome</t>
    <phoneticPr fontId="1" type="noConversion"/>
  </si>
  <si>
    <t>誤判值</t>
    <phoneticPr fontId="1" type="noConversion"/>
  </si>
  <si>
    <t>訓練誤判率</t>
    <phoneticPr fontId="1" type="noConversion"/>
  </si>
  <si>
    <t>Income</t>
    <phoneticPr fontId="2" type="noConversion"/>
  </si>
  <si>
    <t>Income</t>
    <phoneticPr fontId="2" type="noConversion"/>
  </si>
  <si>
    <t>參加否</t>
    <phoneticPr fontId="2" type="noConversion"/>
  </si>
  <si>
    <t>Age</t>
    <phoneticPr fontId="1" type="noConversion"/>
  </si>
  <si>
    <t>Income</t>
    <phoneticPr fontId="1" type="noConversion"/>
  </si>
  <si>
    <t>Age</t>
    <phoneticPr fontId="1" type="noConversion"/>
  </si>
  <si>
    <t>H1</t>
  </si>
  <si>
    <t>H2</t>
  </si>
  <si>
    <t>H3</t>
  </si>
  <si>
    <t>H4</t>
  </si>
  <si>
    <t>average</t>
    <phoneticPr fontId="1" type="noConversion"/>
  </si>
  <si>
    <t>stdev</t>
    <phoneticPr fontId="1" type="noConversion"/>
  </si>
  <si>
    <t>stdev</t>
    <phoneticPr fontId="1" type="noConversion"/>
  </si>
  <si>
    <t>Theta</t>
    <phoneticPr fontId="2" type="noConversion"/>
  </si>
  <si>
    <t>資料正規化</t>
    <phoneticPr fontId="1" type="noConversion"/>
  </si>
  <si>
    <t>萃取係數</t>
    <phoneticPr fontId="1" type="noConversion"/>
  </si>
  <si>
    <t>(萃)取出每一樣本, 4個角度的特徵值</t>
    <phoneticPr fontId="1" type="noConversion"/>
  </si>
  <si>
    <t>Outcome</t>
    <phoneticPr fontId="1" type="noConversion"/>
  </si>
  <si>
    <t>測試誤判率</t>
    <phoneticPr fontId="1" type="noConversion"/>
  </si>
  <si>
    <t>Age</t>
    <phoneticPr fontId="2" type="noConversion"/>
  </si>
  <si>
    <t>Theta</t>
    <phoneticPr fontId="2" type="noConversion"/>
  </si>
  <si>
    <t>預測的分數</t>
    <phoneticPr fontId="2" type="noConversion"/>
  </si>
  <si>
    <t>訓練誤差平方和</t>
  </si>
  <si>
    <t>預測的分數</t>
    <phoneticPr fontId="2" type="noConversion"/>
  </si>
  <si>
    <t xml:space="preserve">註:最近鄰居法分類法(Ｋ-Nearest-Neighbor,KNN) ； 類神經網路(Neural Network, NN) </t>
    <phoneticPr fontId="1" type="noConversion"/>
  </si>
  <si>
    <t xml:space="preserve">      評估:損失函數(Loss)大都使用 Mean Square Error 來計算，而且訓練時大都使用梯度下降法(Gradient Descent)來尋找最佳的參數值以得到最小的損失函數 (Loss) </t>
    <phoneticPr fontId="1" type="noConversion"/>
  </si>
  <si>
    <t>題目1:在類神經網路中，權重W在初始化時都是隨機給予，因此一開始時誤差很大，需要經過多次的訓練調整參數W來減少誤差提高精確率，</t>
    <phoneticPr fontId="1" type="noConversion"/>
  </si>
  <si>
    <t xml:space="preserve">      如附圖１，假設我們只有使用一個權重參數W，請說明為什麼 Loss(W) 跟W的關係是曲線的關係? (20)</t>
    <phoneticPr fontId="1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</si>
  <si>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</si>
  <si>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</si>
  <si>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</si>
  <si>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</si>
  <si>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</si>
  <si>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</si>
  <si>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</si>
  <si>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</si>
  <si>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</si>
  <si>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</si>
  <si>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</si>
  <si>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</si>
  <si>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</si>
  <si>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</si>
  <si>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</si>
  <si>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</si>
  <si>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r>
      <t>題目2:如附圖2，在使用梯度下降法時, 假設 L(W)=MSE = 8W</t>
    </r>
    <r>
      <rPr>
        <vertAlign val="superscript"/>
        <sz val="12"/>
        <color rgb="FF0000FF"/>
        <rFont val="標楷體"/>
        <family val="4"/>
        <charset val="136"/>
      </rPr>
      <t xml:space="preserve">2 </t>
    </r>
    <r>
      <rPr>
        <sz val="12"/>
        <color rgb="FF0000FF"/>
        <rFont val="標楷體"/>
        <family val="4"/>
        <charset val="136"/>
      </rPr>
      <t>+ 0.8  、且超參數</t>
    </r>
    <r>
      <rPr>
        <b/>
        <sz val="12"/>
        <color rgb="FFFF0000"/>
        <rFont val="Times New Roman"/>
        <family val="1"/>
      </rPr>
      <t>Ƞ</t>
    </r>
    <r>
      <rPr>
        <sz val="12"/>
        <color rgb="FF0000FF"/>
        <rFont val="標楷體"/>
        <family val="4"/>
        <charset val="136"/>
      </rPr>
      <t xml:space="preserve"> = 0.02</t>
    </r>
    <phoneticPr fontId="1" type="noConversion"/>
  </si>
  <si>
    <r>
      <t>　　　又假設第一次訓練時Ｗ</t>
    </r>
    <r>
      <rPr>
        <vertAlign val="subscript"/>
        <sz val="12"/>
        <color rgb="FF0000FF"/>
        <rFont val="標楷體"/>
        <family val="4"/>
        <charset val="136"/>
      </rPr>
      <t>1</t>
    </r>
    <r>
      <rPr>
        <sz val="12"/>
        <color rgb="FF0000FF"/>
        <rFont val="標楷體"/>
        <family val="4"/>
        <charset val="136"/>
      </rPr>
      <t>＝-2.9，請問要訓練第3次時Ｗ</t>
    </r>
    <r>
      <rPr>
        <vertAlign val="subscript"/>
        <sz val="12"/>
        <color rgb="FF0000FF"/>
        <rFont val="標楷體"/>
        <family val="4"/>
        <charset val="136"/>
      </rPr>
      <t>3</t>
    </r>
    <r>
      <rPr>
        <sz val="12"/>
        <color rgb="FF0000FF"/>
        <rFont val="標楷體"/>
        <family val="4"/>
        <charset val="136"/>
      </rPr>
      <t>等於多少 （需附上：L(W)的曲線圖、計算過程及說明）(15)</t>
    </r>
    <phoneticPr fontId="1" type="noConversion"/>
  </si>
  <si>
    <t>　　　　　　　　　　　　　　</t>
    <phoneticPr fontId="1" type="noConversion"/>
  </si>
  <si>
    <t>KNN:當你要預測一個樣本有沒有參加時，是看他之前訓練的樣本，因此跟訓練的樣本有極大關係。
NN:若有十筆作訓練，訓練完得到之參數檔，將參數檔給預測程式將欲做預測之樣本及參數檔做比對，跟訓練時的樣本完全沒有關係。</t>
    <phoneticPr fontId="1" type="noConversion"/>
  </si>
  <si>
    <t>題目3: KNN及類神經網路兩種演算法，都是用來作分類，目的都是預測新樣本的值，請說明二者計算原理最大的不同是什麼? (15)12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</si>
</sst>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00B0F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  <font>
      <sz val="12"/>
      <color rgb="FFC00000"/>
      <name val="新細明體"/>
      <family val="1"/>
      <charset val="136"/>
    </font>
    <font>
      <sz val="12"/>
      <color rgb="FFC00000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rgb="FF00B0F0"/>
      <name val="新細明體"/>
      <family val="1"/>
      <charset val="136"/>
      <scheme val="minor"/>
    </font>
    <font>
      <sz val="12"/>
      <color rgb="FFFF0000"/>
      <name val="新細明體"/>
      <family val="2"/>
      <charset val="136"/>
    </font>
    <font>
      <b/>
      <sz val="12"/>
      <color rgb="FF0000FF"/>
      <name val="新細明體"/>
      <family val="1"/>
      <charset val="136"/>
      <scheme val="minor"/>
    </font>
    <font>
      <sz val="12"/>
      <color rgb="FF0000FF"/>
      <name val="標楷體"/>
      <family val="4"/>
      <charset val="136"/>
    </font>
    <font>
      <vertAlign val="superscript"/>
      <sz val="12"/>
      <color rgb="FF0000FF"/>
      <name val="標楷體"/>
      <family val="4"/>
      <charset val="136"/>
    </font>
    <font>
      <b/>
      <sz val="12"/>
      <color rgb="FFFF0000"/>
      <name val="Times New Roman"/>
      <family val="1"/>
    </font>
    <font>
      <vertAlign val="subscript"/>
      <sz val="12"/>
      <color rgb="FF0000FF"/>
      <name val="標楷體"/>
      <family val="4"/>
      <charset val="136"/>
    </font>
    <font>
      <vertAlign val="subscript"/>
      <sz val="12"/>
      <color rgb="FFC00000"/>
      <name val="新細明體"/>
      <family val="1"/>
      <charset val="136"/>
      <scheme val="minor"/>
    </font>
    <font>
      <vertAlign val="subscript"/>
      <sz val="12"/>
      <color rgb="FF00B0F0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5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3" fillId="0" borderId="0" xfId="1" applyFont="1">
      <alignment vertical="center"/>
    </xf>
    <xf numFmtId="0" fontId="14" fillId="0" borderId="0" xfId="0" applyFont="1">
      <alignment vertical="center"/>
    </xf>
    <xf numFmtId="0" fontId="0" fillId="6" borderId="0" xfId="0" applyFill="1">
      <alignment vertical="center"/>
    </xf>
    <xf numFmtId="0" fontId="8" fillId="0" borderId="1" xfId="0" applyFont="1" applyBorder="1">
      <alignment vertical="center"/>
    </xf>
    <xf numFmtId="0" fontId="0" fillId="7" borderId="0" xfId="0" applyFill="1">
      <alignment vertical="center"/>
    </xf>
    <xf numFmtId="10" fontId="0" fillId="7" borderId="0" xfId="0" applyNumberFormat="1" applyFill="1">
      <alignment vertical="center"/>
    </xf>
    <xf numFmtId="0" fontId="14" fillId="0" borderId="1" xfId="0" applyFont="1" applyBorder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5" fillId="0" borderId="0" xfId="1" applyFont="1">
      <alignment vertical="center"/>
    </xf>
    <xf numFmtId="0" fontId="3" fillId="4" borderId="0" xfId="1" applyFont="1" applyFill="1">
      <alignment vertical="center"/>
    </xf>
    <xf numFmtId="0" fontId="9" fillId="4" borderId="0" xfId="0" applyFont="1" applyFill="1">
      <alignment vertical="center"/>
    </xf>
    <xf numFmtId="0" fontId="0" fillId="5" borderId="0" xfId="0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5" fillId="0" borderId="0" xfId="1" applyFont="1" applyFill="1">
      <alignment vertical="center"/>
    </xf>
    <xf numFmtId="0" fontId="8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8" borderId="0" xfId="0" applyFont="1" applyFill="1">
      <alignment vertical="center"/>
    </xf>
    <xf numFmtId="0" fontId="17" fillId="0" borderId="0" xfId="0" applyFont="1">
      <alignment vertical="center"/>
    </xf>
    <xf numFmtId="0" fontId="0" fillId="0" borderId="0" xfId="0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7620</xdr:rowOff>
    </xdr:from>
    <xdr:to>
      <xdr:col>0</xdr:col>
      <xdr:colOff>7734300</xdr:colOff>
      <xdr:row>9</xdr:row>
      <xdr:rowOff>68580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字方塊 2"/>
            <xdr:cNvSpPr txBox="1"/>
          </xdr:nvSpPr>
          <xdr:spPr>
            <a:xfrm>
              <a:off x="76200" y="624840"/>
              <a:ext cx="7658100" cy="12954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zh-TW" altLang="en-US" sz="1100"/>
                <a:t>我們在算類神經網路時大部分是用</a:t>
              </a:r>
              <a:r>
                <a:rPr lang="en-US" altLang="zh-TW" sz="1100"/>
                <a:t>mean-square error(MSE)</a:t>
              </a:r>
              <a:r>
                <a:rPr lang="zh-TW" altLang="en-US" sz="1100"/>
                <a:t>來尋得他的損失函數</a:t>
              </a:r>
              <a:r>
                <a:rPr lang="en-US" altLang="zh-TW" sz="1100"/>
                <a:t>L</a:t>
              </a:r>
              <a:r>
                <a:rPr lang="zh-TW" altLang="en-US" sz="1100"/>
                <a:t>，</a:t>
              </a:r>
              <a:endParaRPr lang="en-US" altLang="zh-TW" sz="1100"/>
            </a:p>
            <a:p>
              <a14:m>
                <m:oMath xmlns:m="http://schemas.openxmlformats.org/officeDocument/2006/math">
                  <m:acc>
                    <m:accPr>
                      <m:chr m:val="̂"/>
                      <m:ctrlPr>
                        <a:rPr lang="zh-TW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US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</m:acc>
                  <m:r>
                    <a:rPr lang="en-US" altLang="zh-TW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zh-TW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𝑤</m:t>
                      </m:r>
                    </m:e>
                    <m:sub>
                      <m:r>
                        <a:rPr lang="en-US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altLang="zh-TW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𝑥</m:t>
                  </m:r>
                  <m:r>
                    <a:rPr lang="en-US" altLang="zh-TW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r>
                    <a:rPr lang="en-US" altLang="zh-TW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𝑏𝑖𝑎𝑠</m:t>
                  </m:r>
                  <m:r>
                    <a:rPr lang="zh-TW" alt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，此</m:t>
                  </m:r>
                </m:oMath>
              </a14:m>
              <a:r>
                <a:rPr lang="zh-TW" altLang="zh-TW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公式</a:t>
              </a:r>
              <a:r>
                <a:rPr lang="zh-TW" alt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為</a:t>
              </a:r>
              <a:r>
                <a:rPr lang="zh-TW" altLang="zh-TW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一個參數</a:t>
              </a:r>
              <a:r>
                <a:rPr lang="zh-TW" alt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。</a:t>
              </a:r>
              <a:endParaRPr lang="en-US" altLang="zh-TW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 xmlns:m="http://schemas.openxmlformats.org/officeDocument/2006/math">
                  <m:acc>
                    <m:accPr>
                      <m:chr m:val="̂"/>
                      <m:ctrlPr>
                        <a:rPr lang="zh-TW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US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</m:acc>
                  <m:r>
                    <a:rPr lang="en-US" altLang="zh-TW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n-US" altLang="zh-TW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𝑓</m:t>
                  </m:r>
                  <m:d>
                    <m:dPr>
                      <m:begChr m:val="["/>
                      <m:endChr m:val="]"/>
                      <m:ctrlPr>
                        <a:rPr lang="zh-TW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d>
                        <m:dPr>
                          <m:ctrlPr>
                            <a:rPr lang="zh-TW" altLang="zh-TW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nary>
                            <m:naryPr>
                              <m:chr m:val="∑"/>
                              <m:limLoc m:val="undOvr"/>
                              <m:supHide m:val="on"/>
                              <m:ctrlPr>
                                <a:rPr lang="zh-TW" altLang="zh-TW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naryPr>
                            <m:sub>
                              <m:r>
                                <a:rPr lang="en-US" altLang="zh-TW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𝑗</m:t>
                              </m:r>
                              <m:r>
                                <a:rPr lang="en-US" altLang="zh-TW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=1</m:t>
                              </m:r>
                            </m:sub>
                            <m:sup/>
                            <m:e>
                              <m:sSub>
                                <m:sSubPr>
                                  <m:ctrlPr>
                                    <a:rPr lang="zh-TW" altLang="zh-TW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altLang="zh-TW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en-US" altLang="zh-TW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𝑗</m:t>
                                  </m:r>
                                </m:sub>
                              </m:sSub>
                              <m:r>
                                <a:rPr lang="en-US" altLang="zh-TW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×</m:t>
                              </m:r>
                              <m:sSub>
                                <m:sSubPr>
                                  <m:ctrlPr>
                                    <a:rPr lang="zh-TW" altLang="zh-TW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en-US" altLang="zh-TW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𝑤</m:t>
                                  </m:r>
                                </m:e>
                                <m:sub>
                                  <m:r>
                                    <a:rPr lang="en-US" altLang="zh-TW" sz="1100" i="1">
                                      <a:solidFill>
                                        <a:schemeClr val="dk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𝑗</m:t>
                                  </m:r>
                                </m:sub>
                              </m:sSub>
                            </m:e>
                          </m:nary>
                        </m:e>
                      </m:d>
                      <m:r>
                        <a:rPr lang="en-US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en-US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𝑏𝑖𝑎𝑠</m:t>
                      </m:r>
                    </m:e>
                  </m:d>
                </m:oMath>
              </a14:m>
              <a:r>
                <a:rPr lang="zh-TW" altLang="en-US" sz="1100"/>
                <a:t>，此公式為多個參數。</a:t>
              </a:r>
              <a:endParaRPr lang="en-US" altLang="zh-TW" sz="1100"/>
            </a:p>
            <a:p>
              <a:r>
                <a:rPr lang="zh-TW" altLang="en-US" sz="1100"/>
                <a:t>將</a:t>
              </a:r>
              <a14:m>
                <m:oMath xmlns:m="http://schemas.openxmlformats.org/officeDocument/2006/math">
                  <m:acc>
                    <m:accPr>
                      <m:chr m:val="̂"/>
                      <m:ctrlPr>
                        <a:rPr lang="zh-TW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US" altLang="zh-TW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</m:acc>
                  <m:r>
                    <a:rPr lang="zh-TW" altLang="en-US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帶入</m:t>
                  </m:r>
                </m:oMath>
              </a14:m>
              <a:r>
                <a:rPr lang="zh-TW" altLang="en-US" sz="1100"/>
                <a:t>Ｌ</a:t>
              </a:r>
              <a:r>
                <a:rPr lang="en-US" altLang="zh-TW" sz="1100"/>
                <a:t>(w) </a:t>
              </a:r>
              <a:r>
                <a:rPr lang="zh-TW" altLang="en-US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得</a:t>
              </a:r>
              <a:r>
                <a:rPr lang="en-US" altLang="zh-TW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</a:t>
              </a:r>
              <a:r>
                <a:rPr lang="en-US" altLang="zh-TW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zh-TW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，</a:t>
              </a:r>
              <a:r>
                <a:rPr lang="zh-TW" altLang="zh-TW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係數、常數項</a:t>
              </a:r>
              <a:r>
                <a:rPr lang="zh-TW" alt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會因值的不同而改變</a:t>
              </a:r>
              <a:r>
                <a:rPr lang="zh-TW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。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因為</a:t>
              </a:r>
              <a:r>
                <a:rPr lang="en-US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是平方的關係，即損失函式是一個二元一次方程式，而</a:t>
              </a:r>
              <a:r>
                <a:rPr lang="zh-TW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二元一次方程式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的圖形就是會一個拋物線，因此</a:t>
              </a:r>
              <a:r>
                <a:rPr lang="en-US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跟</a:t>
              </a:r>
              <a:r>
                <a:rPr lang="en-US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的關係是曲線的關係。</a:t>
              </a:r>
              <a:endParaRPr lang="en-US" altLang="zh-TW" sz="1100" baseline="0"/>
            </a:p>
          </xdr:txBody>
        </xdr:sp>
      </mc:Choice>
      <mc:Fallback xmlns="">
        <xdr:sp macro="" textlink="">
          <xdr:nvSpPr>
            <xdr:cNvPr id="3" name="文字方塊 2"/>
            <xdr:cNvSpPr txBox="1"/>
          </xdr:nvSpPr>
          <xdr:spPr>
            <a:xfrm>
              <a:off x="76200" y="624840"/>
              <a:ext cx="7658100" cy="12954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zh-TW" altLang="en-US" sz="1100"/>
                <a:t>我們在算類神經網路時大部分是用</a:t>
              </a:r>
              <a:r>
                <a:rPr lang="en-US" altLang="zh-TW" sz="1100"/>
                <a:t>mean-square error(MSE)</a:t>
              </a:r>
              <a:r>
                <a:rPr lang="zh-TW" altLang="en-US" sz="1100"/>
                <a:t>來尋得他的損失函數</a:t>
              </a:r>
              <a:r>
                <a:rPr lang="en-US" altLang="zh-TW" sz="1100"/>
                <a:t>L</a:t>
              </a:r>
              <a:r>
                <a:rPr lang="zh-TW" altLang="en-US" sz="1100"/>
                <a:t>，</a:t>
              </a:r>
              <a:endParaRPr lang="en-US" altLang="zh-TW" sz="1100"/>
            </a:p>
            <a:p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zh-TW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̂</a:t>
              </a:r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=𝑤</a:t>
              </a:r>
              <a:r>
                <a:rPr lang="zh-TW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 𝑥−𝑏𝑖𝑎𝑠</a:t>
              </a:r>
              <a:r>
                <a:rPr lang="zh-TW" alt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，此</a:t>
              </a:r>
              <a:r>
                <a:rPr lang="zh-TW" altLang="zh-TW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公式</a:t>
              </a:r>
              <a:r>
                <a:rPr lang="zh-TW" alt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為</a:t>
              </a:r>
              <a:r>
                <a:rPr lang="zh-TW" altLang="zh-TW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一個參數</a:t>
              </a:r>
              <a:r>
                <a:rPr lang="zh-TW" alt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。</a:t>
              </a:r>
              <a:endParaRPr lang="en-US" altLang="zh-TW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zh-TW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̂</a:t>
              </a:r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=𝑓</a:t>
              </a:r>
              <a:r>
                <a:rPr lang="zh-TW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[(∑1</a:t>
              </a:r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zh-TW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𝑗=1</a:t>
              </a:r>
              <a:r>
                <a:rPr lang="zh-TW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▒</a:t>
              </a:r>
              <a:r>
                <a:rPr lang="zh-TW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zh-TW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𝑗×𝑤</a:t>
              </a:r>
              <a:r>
                <a:rPr lang="zh-TW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𝑗 </a:t>
              </a:r>
              <a:r>
                <a:rPr lang="zh-TW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〗</a:t>
              </a:r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)−𝑏𝑖𝑎𝑠]</a:t>
              </a:r>
              <a:r>
                <a:rPr lang="zh-TW" altLang="en-US" sz="1100"/>
                <a:t>，此公式為多個參數。</a:t>
              </a:r>
              <a:endParaRPr lang="en-US" altLang="zh-TW" sz="1100"/>
            </a:p>
            <a:p>
              <a:r>
                <a:rPr lang="zh-TW" altLang="en-US" sz="1100"/>
                <a:t>將</a:t>
              </a:r>
              <a:r>
                <a:rPr lang="en-US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zh-TW" altLang="zh-TW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̂</a:t>
              </a:r>
              <a:r>
                <a:rPr lang="zh-TW" alt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帶入</a:t>
              </a:r>
              <a:r>
                <a:rPr lang="zh-TW" altLang="en-US" sz="1100"/>
                <a:t>Ｌ</a:t>
              </a:r>
              <a:r>
                <a:rPr lang="en-US" altLang="zh-TW" sz="1100"/>
                <a:t>(w) </a:t>
              </a:r>
              <a:r>
                <a:rPr lang="zh-TW" altLang="en-US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得</a:t>
              </a:r>
              <a:r>
                <a:rPr lang="en-US" altLang="zh-TW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</a:t>
              </a:r>
              <a:r>
                <a:rPr lang="en-US" altLang="zh-TW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zh-TW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，</a:t>
              </a:r>
              <a:r>
                <a:rPr lang="zh-TW" altLang="zh-TW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係數、常數項</a:t>
              </a:r>
              <a:r>
                <a:rPr lang="zh-TW" alt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會因值的不同而改變</a:t>
              </a:r>
              <a:r>
                <a:rPr lang="zh-TW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。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因為</a:t>
              </a:r>
              <a:r>
                <a:rPr lang="en-US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是平方的關係，即損失函式是一個二元一次方程式，而</a:t>
              </a:r>
              <a:r>
                <a:rPr lang="zh-TW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二元一次方程式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的圖形就是會一個拋物線，因此</a:t>
              </a:r>
              <a:r>
                <a:rPr lang="en-US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跟</a:t>
              </a:r>
              <a:r>
                <a:rPr lang="en-US" altLang="zh-TW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</a:t>
              </a:r>
              <a:r>
                <a:rPr lang="zh-TW" alt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的關係是曲線的關係。</a:t>
              </a:r>
              <a:endParaRPr lang="en-US" altLang="zh-TW" sz="1100" baseline="0"/>
            </a:p>
          </xdr:txBody>
        </xdr:sp>
      </mc:Fallback>
    </mc:AlternateContent>
    <xdr:clientData/>
  </xdr:twoCellAnchor>
  <xdr:twoCellAnchor>
    <xdr:from>
      <xdr:col>0</xdr:col>
      <xdr:colOff>5196840</xdr:colOff>
      <xdr:row>2</xdr:row>
      <xdr:rowOff>137160</xdr:rowOff>
    </xdr:from>
    <xdr:to>
      <xdr:col>0</xdr:col>
      <xdr:colOff>7200900</xdr:colOff>
      <xdr:row>4</xdr:row>
      <xdr:rowOff>182880</xdr:rowOff>
    </xdr:to>
    <xdr:pic>
      <xdr:nvPicPr>
        <xdr:cNvPr id="4" name="圖片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6840" y="548640"/>
          <a:ext cx="200406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505689</xdr:colOff>
      <xdr:row>15</xdr:row>
      <xdr:rowOff>15240</xdr:rowOff>
    </xdr:from>
    <xdr:to>
      <xdr:col>0</xdr:col>
      <xdr:colOff>4215561</xdr:colOff>
      <xdr:row>28</xdr:row>
      <xdr:rowOff>68580</xdr:rowOff>
    </xdr:to>
    <xdr:pic>
      <xdr:nvPicPr>
        <xdr:cNvPr id="7" name="圖片 6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89" b="32049"/>
        <a:stretch/>
      </xdr:blipFill>
      <xdr:spPr>
        <a:xfrm>
          <a:off x="505689" y="3162300"/>
          <a:ext cx="3709872" cy="2727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456025</xdr:colOff>
      <xdr:row>26</xdr:row>
      <xdr:rowOff>30481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161625" cy="5379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12</xdr:col>
      <xdr:colOff>323191</xdr:colOff>
      <xdr:row>27</xdr:row>
      <xdr:rowOff>182880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638390" cy="5737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28"/>
  <sheetViews>
    <sheetView topLeftCell="D1" workbookViewId="0">
      <selection activeCell="R19" sqref="R19"/>
    </sheetView>
  </sheetViews>
  <sheetFormatPr defaultRowHeight="16.2"/>
  <cols>
    <col min="4" max="4" width="8.77734375" style="12"/>
    <col min="5" max="6" width="9.6640625" bestFit="1" customWidth="1"/>
    <col min="7" max="7" width="5" customWidth="1"/>
    <col min="10" max="10" width="8.77734375" style="4"/>
    <col min="11" max="11" width="5.109375" customWidth="1"/>
    <col min="12" max="12" width="5.21875" customWidth="1"/>
    <col min="13" max="13" width="5.109375" customWidth="1"/>
    <col min="14" max="14" width="5.77734375" customWidth="1"/>
    <col min="15" max="15" width="3.88671875" customWidth="1"/>
    <col min="16" max="16" width="12.21875" bestFit="1" customWidth="1"/>
    <col min="19" max="19" width="14.77734375" customWidth="1"/>
    <col min="20" max="20" width="3.88671875" customWidth="1"/>
    <col min="23" max="23" width="3.77734375" customWidth="1"/>
    <col min="24" max="24" width="13.21875" customWidth="1"/>
    <col min="25" max="25" width="4.109375" customWidth="1"/>
    <col min="26" max="26" width="7.44140625" customWidth="1"/>
    <col min="27" max="27" width="3.88671875" customWidth="1"/>
    <col min="28" max="28" width="16.88671875" customWidth="1"/>
  </cols>
  <sheetData>
    <row r="1" spans="1:28" s="2" customFormat="1">
      <c r="A1" s="33" t="s">
        <v>1</v>
      </c>
      <c r="B1" s="32"/>
      <c r="C1" s="32"/>
      <c r="D1" s="32" t="s">
        <v>2</v>
      </c>
      <c r="E1" s="32"/>
      <c r="F1" s="32"/>
      <c r="H1" s="32" t="s">
        <v>3</v>
      </c>
      <c r="I1" s="34"/>
      <c r="J1" s="26"/>
      <c r="K1" s="31" t="s">
        <v>4</v>
      </c>
      <c r="L1" s="32"/>
      <c r="M1" s="32"/>
      <c r="N1" s="32"/>
      <c r="P1" s="33" t="s">
        <v>5</v>
      </c>
      <c r="Q1" s="32"/>
      <c r="R1" s="32"/>
      <c r="S1" s="32"/>
      <c r="U1" s="31" t="s">
        <v>6</v>
      </c>
      <c r="V1" s="32"/>
      <c r="X1" s="5" t="s">
        <v>7</v>
      </c>
      <c r="Z1" s="5" t="s">
        <v>8</v>
      </c>
      <c r="AB1" s="27" t="s">
        <v>9</v>
      </c>
    </row>
    <row r="2" spans="1:28" s="6" customFormat="1" ht="20.399999999999999" thickBot="1">
      <c r="A2" s="6" t="s">
        <v>0</v>
      </c>
      <c r="B2" s="6" t="s">
        <v>11</v>
      </c>
      <c r="C2" s="7" t="s">
        <v>12</v>
      </c>
      <c r="D2" s="8"/>
      <c r="E2" s="6" t="s">
        <v>13</v>
      </c>
      <c r="F2" s="6" t="s">
        <v>14</v>
      </c>
      <c r="H2" s="6" t="s">
        <v>15</v>
      </c>
      <c r="I2" s="6" t="s">
        <v>14</v>
      </c>
      <c r="J2" s="8"/>
      <c r="K2" s="9" t="s">
        <v>16</v>
      </c>
      <c r="L2" s="9" t="s">
        <v>17</v>
      </c>
      <c r="M2" s="9" t="s">
        <v>18</v>
      </c>
      <c r="N2" s="9" t="s">
        <v>19</v>
      </c>
      <c r="P2" s="10" t="s">
        <v>38</v>
      </c>
      <c r="Q2" s="10" t="s">
        <v>45</v>
      </c>
      <c r="R2" s="10" t="s">
        <v>44</v>
      </c>
      <c r="S2" s="10" t="s">
        <v>43</v>
      </c>
      <c r="X2" s="7" t="s">
        <v>33</v>
      </c>
    </row>
    <row r="3" spans="1:28" ht="20.399999999999999" thickBot="1">
      <c r="A3" s="11">
        <v>48</v>
      </c>
      <c r="B3" s="11">
        <v>8</v>
      </c>
      <c r="C3" s="11">
        <v>1</v>
      </c>
      <c r="D3" s="12" t="s">
        <v>20</v>
      </c>
      <c r="E3" s="13">
        <f>AVERAGE(A3:A14)</f>
        <v>41.833333333333336</v>
      </c>
      <c r="F3" s="13">
        <f>AVERAGE(B3:B14)</f>
        <v>7</v>
      </c>
      <c r="H3" s="1">
        <f>(A3-$E$3)/$E$4</f>
        <v>0.3156769282447161</v>
      </c>
      <c r="I3" s="1">
        <f>(B3-$F$3)/$F$4</f>
        <v>0.2472066162365221</v>
      </c>
      <c r="K3" s="11">
        <v>-2.2000000000000002</v>
      </c>
      <c r="L3" s="11">
        <v>2.2999999999999998</v>
      </c>
      <c r="M3" s="11">
        <v>5.0999999999999996</v>
      </c>
      <c r="N3" s="11">
        <v>2.2999999999999998</v>
      </c>
      <c r="P3" s="1">
        <f>1/(1+EXP(-(MMULT($H3:$I3,K$3:K$4)-K$6)))</f>
        <v>0.33801733871732093</v>
      </c>
      <c r="Q3" s="1">
        <f t="shared" ref="Q3:S14" si="0">1/(1+EXP(-(MMULT($H3:$I3,L$3:L$4)-L$6)))</f>
        <v>0.96949065944001145</v>
      </c>
      <c r="R3" s="1">
        <f t="shared" si="0"/>
        <v>0.10270151371309641</v>
      </c>
      <c r="S3" s="1">
        <f t="shared" si="0"/>
        <v>0.37575571062065521</v>
      </c>
      <c r="U3" s="14" t="s">
        <v>46</v>
      </c>
      <c r="V3" s="11">
        <v>-1.5</v>
      </c>
      <c r="X3" s="15">
        <f>1/(1+EXP(-(MMULT($P3:$S3,V$3:V$6)-V$8)))</f>
        <v>0.94538711650393681</v>
      </c>
      <c r="Z3" s="15">
        <f>IF(OR(AND(C3=1,X3&lt;0.5),AND(C3=0,X3&gt;=0.5)),1,0)</f>
        <v>0</v>
      </c>
      <c r="AB3" s="16">
        <f>AVERAGE(Z3:Z14)</f>
        <v>0</v>
      </c>
    </row>
    <row r="4" spans="1:28" ht="20.399999999999999" thickBot="1">
      <c r="A4" s="11">
        <v>46</v>
      </c>
      <c r="B4" s="11">
        <v>6</v>
      </c>
      <c r="C4" s="11">
        <v>0</v>
      </c>
      <c r="D4" s="12" t="s">
        <v>22</v>
      </c>
      <c r="E4" s="13">
        <f>STDEV(A3:A14)</f>
        <v>19.534739839733231</v>
      </c>
      <c r="F4" s="13">
        <f>STDEV(B3:B14)</f>
        <v>4.0451991747794525</v>
      </c>
      <c r="H4" s="1">
        <f t="shared" ref="H4:H14" si="1">(A4-$E$3)/$E$4</f>
        <v>0.2132952217869703</v>
      </c>
      <c r="I4" s="1">
        <f>(B4-$F$3)/$F$4</f>
        <v>-0.2472066162365221</v>
      </c>
      <c r="K4" s="11">
        <v>-8</v>
      </c>
      <c r="L4" s="11">
        <v>6.2</v>
      </c>
      <c r="M4" s="11">
        <v>0.9</v>
      </c>
      <c r="N4" s="11">
        <v>3.1</v>
      </c>
      <c r="P4" s="1">
        <f t="shared" ref="P4:P14" si="2">1/(1+EXP(-(MMULT($H4:$I4,K$3:K$4)-K$6)))</f>
        <v>0.97092592916479958</v>
      </c>
      <c r="Q4" s="1">
        <f t="shared" si="0"/>
        <v>0.5393926872146283</v>
      </c>
      <c r="R4" s="1">
        <f t="shared" si="0"/>
        <v>4.1699177969579844E-2</v>
      </c>
      <c r="S4" s="1">
        <f t="shared" si="0"/>
        <v>9.3150376648620165E-2</v>
      </c>
      <c r="U4" s="17" t="s">
        <v>47</v>
      </c>
      <c r="V4" s="11">
        <v>5</v>
      </c>
      <c r="X4" s="15">
        <f t="shared" ref="X4:X14" si="3">1/(1+EXP(-(MMULT($P4:$S4,V$3:V$6)-V$8)))</f>
        <v>0.45125022159430234</v>
      </c>
      <c r="Z4" s="15">
        <f t="shared" ref="Z4:Z14" si="4">IF(OR(AND(C4=1,X4&lt;0.5),AND(C4=0,X4&gt;=0.5)),1,0)</f>
        <v>0</v>
      </c>
    </row>
    <row r="5" spans="1:28" ht="20.399999999999999" thickBot="1">
      <c r="A5" s="11">
        <v>65</v>
      </c>
      <c r="B5" s="11">
        <v>17</v>
      </c>
      <c r="C5" s="11">
        <v>0</v>
      </c>
      <c r="H5" s="1">
        <f t="shared" si="1"/>
        <v>1.1859214331355554</v>
      </c>
      <c r="I5" s="1">
        <f>(B5-$F$3)/$F$4</f>
        <v>2.4720661623652211</v>
      </c>
      <c r="K5" s="18"/>
      <c r="L5" s="18"/>
      <c r="M5" s="18"/>
      <c r="N5" s="18"/>
      <c r="P5" s="1">
        <f t="shared" si="2"/>
        <v>1.4017330777598855E-9</v>
      </c>
      <c r="Q5" s="1">
        <f t="shared" si="0"/>
        <v>0.99999999565582298</v>
      </c>
      <c r="R5" s="1">
        <f t="shared" si="0"/>
        <v>0.9862525466074058</v>
      </c>
      <c r="S5" s="1">
        <f t="shared" si="0"/>
        <v>0.9997731567411291</v>
      </c>
      <c r="U5" s="17" t="s">
        <v>48</v>
      </c>
      <c r="V5" s="11">
        <v>-5.5</v>
      </c>
      <c r="X5" s="15">
        <f t="shared" si="3"/>
        <v>0.32637734712800043</v>
      </c>
      <c r="Z5" s="15">
        <f t="shared" si="4"/>
        <v>0</v>
      </c>
    </row>
    <row r="6" spans="1:28" ht="20.399999999999999" thickBot="1">
      <c r="A6" s="11">
        <v>18</v>
      </c>
      <c r="B6" s="11">
        <v>5</v>
      </c>
      <c r="C6" s="11">
        <v>0</v>
      </c>
      <c r="H6" s="1">
        <f t="shared" si="1"/>
        <v>-1.2200486686214711</v>
      </c>
      <c r="I6" s="1">
        <f t="shared" ref="I6:I14" si="5">(B6-$F$3)/$F$4</f>
        <v>-0.4944132324730442</v>
      </c>
      <c r="J6" s="14" t="s">
        <v>23</v>
      </c>
      <c r="K6" s="11">
        <v>-2</v>
      </c>
      <c r="L6" s="11">
        <v>-1.2</v>
      </c>
      <c r="M6" s="11">
        <v>4</v>
      </c>
      <c r="N6" s="11">
        <v>2</v>
      </c>
      <c r="P6" s="1">
        <f t="shared" si="2"/>
        <v>0.99982304054260074</v>
      </c>
      <c r="Q6" s="1">
        <f t="shared" si="0"/>
        <v>9.2716963260210204E-3</v>
      </c>
      <c r="R6" s="1">
        <f t="shared" si="0"/>
        <v>2.3295661530725299E-5</v>
      </c>
      <c r="S6" s="1">
        <f t="shared" si="0"/>
        <v>1.7633183247568454E-3</v>
      </c>
      <c r="U6" s="17" t="s">
        <v>49</v>
      </c>
      <c r="V6" s="11">
        <v>1</v>
      </c>
      <c r="X6" s="15">
        <f t="shared" si="3"/>
        <v>5.9988406677595557E-2</v>
      </c>
      <c r="Z6" s="15">
        <f t="shared" si="4"/>
        <v>0</v>
      </c>
    </row>
    <row r="7" spans="1:28" ht="16.8" thickBot="1">
      <c r="A7" s="11">
        <v>22</v>
      </c>
      <c r="B7" s="11">
        <v>3</v>
      </c>
      <c r="C7" s="11">
        <v>0</v>
      </c>
      <c r="H7" s="1">
        <f t="shared" si="1"/>
        <v>-1.0152852557059793</v>
      </c>
      <c r="I7" s="1">
        <f t="shared" si="5"/>
        <v>-0.98882646494608839</v>
      </c>
      <c r="P7" s="1">
        <f t="shared" si="2"/>
        <v>0.99999468110296863</v>
      </c>
      <c r="Q7" s="1">
        <f t="shared" si="0"/>
        <v>6.9849753212183918E-4</v>
      </c>
      <c r="R7" s="1">
        <f t="shared" si="0"/>
        <v>4.2417860707948324E-5</v>
      </c>
      <c r="S7" s="1">
        <f t="shared" si="0"/>
        <v>6.1056312002951926E-4</v>
      </c>
      <c r="U7" s="12"/>
      <c r="V7" s="18"/>
      <c r="X7" s="15">
        <f t="shared" si="3"/>
        <v>5.7534081221595514E-2</v>
      </c>
      <c r="Z7" s="15">
        <f t="shared" si="4"/>
        <v>0</v>
      </c>
    </row>
    <row r="8" spans="1:28" ht="16.8" thickBot="1">
      <c r="A8" s="11">
        <v>18</v>
      </c>
      <c r="B8" s="11">
        <v>3</v>
      </c>
      <c r="C8" s="11">
        <v>0</v>
      </c>
      <c r="H8" s="1">
        <f t="shared" si="1"/>
        <v>-1.2200486686214711</v>
      </c>
      <c r="I8" s="1">
        <f t="shared" si="5"/>
        <v>-0.98882646494608839</v>
      </c>
      <c r="P8" s="1">
        <f t="shared" si="2"/>
        <v>0.99999661014083052</v>
      </c>
      <c r="Q8" s="1">
        <f t="shared" si="0"/>
        <v>4.3625990685118446E-4</v>
      </c>
      <c r="R8" s="1">
        <f t="shared" si="0"/>
        <v>1.4928969699993531E-5</v>
      </c>
      <c r="S8" s="1">
        <f t="shared" si="0"/>
        <v>3.8132620117240965E-4</v>
      </c>
      <c r="U8" s="17" t="s">
        <v>23</v>
      </c>
      <c r="V8" s="11">
        <v>1.3</v>
      </c>
      <c r="X8" s="15">
        <f t="shared" si="3"/>
        <v>5.7458640986055173E-2</v>
      </c>
      <c r="Z8" s="15">
        <f t="shared" si="4"/>
        <v>0</v>
      </c>
    </row>
    <row r="9" spans="1:28">
      <c r="A9" s="11">
        <v>71</v>
      </c>
      <c r="B9" s="11">
        <v>2</v>
      </c>
      <c r="C9" s="11">
        <v>0</v>
      </c>
      <c r="H9" s="1">
        <f t="shared" si="1"/>
        <v>1.4930665525087929</v>
      </c>
      <c r="I9" s="1">
        <f t="shared" si="5"/>
        <v>-1.2360330811826106</v>
      </c>
      <c r="P9" s="1">
        <f t="shared" si="2"/>
        <v>0.99981657444659766</v>
      </c>
      <c r="Q9" s="1">
        <f t="shared" si="0"/>
        <v>4.6117323077247641E-2</v>
      </c>
      <c r="R9" s="1">
        <f t="shared" si="0"/>
        <v>0.92429657918289054</v>
      </c>
      <c r="S9" s="1">
        <f t="shared" si="0"/>
        <v>8.3352111026654158E-2</v>
      </c>
      <c r="X9" s="15">
        <f t="shared" si="3"/>
        <v>5.1572690797018156E-4</v>
      </c>
      <c r="Z9" s="15">
        <f t="shared" si="4"/>
        <v>0</v>
      </c>
      <c r="AB9" s="28" t="s">
        <v>32</v>
      </c>
    </row>
    <row r="10" spans="1:28">
      <c r="A10" s="11">
        <v>46</v>
      </c>
      <c r="B10" s="11">
        <v>9</v>
      </c>
      <c r="C10" s="11">
        <v>1</v>
      </c>
      <c r="H10" s="1">
        <f t="shared" si="1"/>
        <v>0.2132952217869703</v>
      </c>
      <c r="I10" s="1">
        <f t="shared" si="5"/>
        <v>0.4944132324730442</v>
      </c>
      <c r="P10" s="1">
        <f t="shared" si="2"/>
        <v>8.1319291830136101E-2</v>
      </c>
      <c r="Q10" s="1">
        <f t="shared" si="0"/>
        <v>0.99147288954467516</v>
      </c>
      <c r="R10" s="1">
        <f t="shared" si="0"/>
        <v>7.8188191391416015E-2</v>
      </c>
      <c r="S10" s="1">
        <f t="shared" si="0"/>
        <v>0.50581474553430228</v>
      </c>
      <c r="X10" s="15">
        <f t="shared" si="3"/>
        <v>0.97369054616777961</v>
      </c>
      <c r="Z10" s="15">
        <f t="shared" si="4"/>
        <v>0</v>
      </c>
      <c r="AB10" s="15">
        <f>SUMXMY2(C3:C14, X3:X14)</f>
        <v>0.62103589291949868</v>
      </c>
    </row>
    <row r="11" spans="1:28">
      <c r="A11" s="11">
        <v>58</v>
      </c>
      <c r="B11" s="11">
        <v>9</v>
      </c>
      <c r="C11" s="11">
        <v>1</v>
      </c>
      <c r="H11" s="1">
        <f t="shared" si="1"/>
        <v>0.82758546053344517</v>
      </c>
      <c r="I11" s="1">
        <f t="shared" si="5"/>
        <v>0.4944132324730442</v>
      </c>
      <c r="P11" s="1">
        <f t="shared" si="2"/>
        <v>2.2401002010870544E-2</v>
      </c>
      <c r="Q11" s="1">
        <f t="shared" si="0"/>
        <v>0.99791064555925824</v>
      </c>
      <c r="R11" s="1">
        <f t="shared" si="0"/>
        <v>0.66053017775401845</v>
      </c>
      <c r="S11" s="1">
        <f t="shared" si="0"/>
        <v>0.80785426861717058</v>
      </c>
      <c r="X11" s="15">
        <f t="shared" si="3"/>
        <v>0.69654308607964965</v>
      </c>
      <c r="Z11" s="15">
        <f t="shared" si="4"/>
        <v>0</v>
      </c>
    </row>
    <row r="12" spans="1:28">
      <c r="A12" s="11">
        <v>20</v>
      </c>
      <c r="B12" s="11">
        <v>5</v>
      </c>
      <c r="C12" s="11">
        <v>0</v>
      </c>
      <c r="H12" s="1">
        <f t="shared" si="1"/>
        <v>-1.1176669621637252</v>
      </c>
      <c r="I12" s="1">
        <f t="shared" si="5"/>
        <v>-0.4944132324730442</v>
      </c>
      <c r="P12" s="1">
        <f t="shared" si="2"/>
        <v>0.99977834642207863</v>
      </c>
      <c r="Q12" s="1">
        <f t="shared" si="0"/>
        <v>1.1704642333751437E-2</v>
      </c>
      <c r="R12" s="1">
        <f t="shared" si="0"/>
        <v>3.9267526257056672E-5</v>
      </c>
      <c r="S12" s="1">
        <f t="shared" si="0"/>
        <v>2.2304587802824609E-3</v>
      </c>
      <c r="X12" s="15">
        <f t="shared" si="3"/>
        <v>6.0703500753032665E-2</v>
      </c>
      <c r="Z12" s="15">
        <f t="shared" si="4"/>
        <v>0</v>
      </c>
    </row>
    <row r="13" spans="1:28">
      <c r="A13" s="11">
        <v>30</v>
      </c>
      <c r="B13" s="11">
        <v>9</v>
      </c>
      <c r="C13" s="11">
        <v>1</v>
      </c>
      <c r="H13" s="1">
        <f t="shared" si="1"/>
        <v>-0.60575842987499617</v>
      </c>
      <c r="I13" s="1">
        <f t="shared" si="5"/>
        <v>0.4944132324730442</v>
      </c>
      <c r="P13" s="1">
        <f t="shared" si="2"/>
        <v>0.34918187340244827</v>
      </c>
      <c r="Q13" s="1">
        <f t="shared" si="0"/>
        <v>0.94645077576288561</v>
      </c>
      <c r="R13" s="1">
        <f t="shared" si="0"/>
        <v>1.2996028889197351E-3</v>
      </c>
      <c r="S13" s="1">
        <f t="shared" si="0"/>
        <v>0.1346374003332054</v>
      </c>
      <c r="X13" s="15">
        <f t="shared" si="3"/>
        <v>0.95417296036157495</v>
      </c>
      <c r="Z13" s="15">
        <f t="shared" si="4"/>
        <v>0</v>
      </c>
    </row>
    <row r="14" spans="1:28">
      <c r="A14" s="11">
        <v>60</v>
      </c>
      <c r="B14" s="11">
        <v>8</v>
      </c>
      <c r="C14" s="11">
        <v>1</v>
      </c>
      <c r="H14" s="1">
        <f t="shared" si="1"/>
        <v>0.92996716699119097</v>
      </c>
      <c r="I14" s="1">
        <f t="shared" si="5"/>
        <v>0.2472066162365221</v>
      </c>
      <c r="P14" s="1">
        <f t="shared" si="2"/>
        <v>0.1167492464483085</v>
      </c>
      <c r="Q14" s="1">
        <f t="shared" si="0"/>
        <v>0.99239719000189119</v>
      </c>
      <c r="R14" s="1">
        <f t="shared" si="0"/>
        <v>0.72418539404477789</v>
      </c>
      <c r="S14" s="1">
        <f>1/(1+EXP(-(MMULT($H14:$I14,N$3:N$4)-N$6)))</f>
        <v>0.71203025775998574</v>
      </c>
      <c r="X14" s="15">
        <f t="shared" si="3"/>
        <v>0.55375955887001882</v>
      </c>
      <c r="Z14" s="15">
        <f t="shared" si="4"/>
        <v>0</v>
      </c>
    </row>
    <row r="15" spans="1:28" s="23" customFormat="1">
      <c r="A15" s="33" t="s">
        <v>1</v>
      </c>
      <c r="B15" s="32"/>
      <c r="C15" s="32"/>
      <c r="D15" s="32" t="s">
        <v>2</v>
      </c>
      <c r="E15" s="32"/>
      <c r="F15" s="32"/>
      <c r="H15" s="32" t="s">
        <v>24</v>
      </c>
      <c r="I15" s="34"/>
      <c r="J15" s="24"/>
      <c r="K15" s="31" t="s">
        <v>25</v>
      </c>
      <c r="L15" s="32"/>
      <c r="M15" s="32"/>
      <c r="N15" s="32"/>
      <c r="P15" s="33" t="s">
        <v>26</v>
      </c>
      <c r="Q15" s="32"/>
      <c r="R15" s="32"/>
      <c r="S15" s="32"/>
      <c r="U15" s="31" t="s">
        <v>6</v>
      </c>
      <c r="V15" s="32"/>
      <c r="X15" s="5" t="s">
        <v>27</v>
      </c>
      <c r="Z15" s="5" t="s">
        <v>8</v>
      </c>
      <c r="AB15" s="27" t="s">
        <v>28</v>
      </c>
    </row>
    <row r="16" spans="1:28" s="19" customFormat="1" ht="20.399999999999999" thickBot="1">
      <c r="A16" s="6" t="s">
        <v>0</v>
      </c>
      <c r="B16" s="6" t="s">
        <v>10</v>
      </c>
      <c r="C16" s="7" t="s">
        <v>12</v>
      </c>
      <c r="D16" s="12"/>
      <c r="E16" s="6" t="s">
        <v>13</v>
      </c>
      <c r="F16" s="6" t="s">
        <v>14</v>
      </c>
      <c r="H16" s="6" t="s">
        <v>29</v>
      </c>
      <c r="I16" s="6" t="s">
        <v>10</v>
      </c>
      <c r="J16" s="12"/>
      <c r="K16" s="9" t="s">
        <v>16</v>
      </c>
      <c r="L16" s="9" t="s">
        <v>17</v>
      </c>
      <c r="M16" s="9" t="s">
        <v>18</v>
      </c>
      <c r="N16" s="9" t="s">
        <v>19</v>
      </c>
      <c r="P16" s="10" t="s">
        <v>39</v>
      </c>
      <c r="Q16" s="10" t="s">
        <v>40</v>
      </c>
      <c r="R16" s="10" t="s">
        <v>41</v>
      </c>
      <c r="S16" s="10" t="s">
        <v>42</v>
      </c>
      <c r="X16" s="7" t="s">
        <v>31</v>
      </c>
    </row>
    <row r="17" spans="1:28" ht="20.399999999999999" thickBot="1">
      <c r="A17" s="3">
        <v>40</v>
      </c>
      <c r="B17" s="3">
        <v>15</v>
      </c>
      <c r="C17" s="20">
        <v>1</v>
      </c>
      <c r="D17" s="12" t="s">
        <v>20</v>
      </c>
      <c r="E17" s="13">
        <f>AVERAGE(A17:A28)</f>
        <v>43.25</v>
      </c>
      <c r="F17" s="13">
        <f>AVERAGE(B17:B28)</f>
        <v>10.166666666666666</v>
      </c>
      <c r="H17" s="13">
        <f>(A17-$E$17)/$E$18</f>
        <v>-0.19198591893272582</v>
      </c>
      <c r="I17" s="13">
        <f>(B17-$F$17)/$F$18</f>
        <v>0.9260274735235613</v>
      </c>
      <c r="K17" s="21">
        <v>-2.2000000000000002</v>
      </c>
      <c r="L17" s="21">
        <v>2.2999999999999998</v>
      </c>
      <c r="M17" s="21">
        <v>5.0999999999999996</v>
      </c>
      <c r="N17" s="21">
        <v>2.2999999999999998</v>
      </c>
      <c r="P17" s="1">
        <f>1/(1+EXP(-(MMULT($H17:$I17,K$17:K$18)-K$20)))</f>
        <v>6.7875754190853954E-3</v>
      </c>
      <c r="Q17" s="1">
        <f t="shared" ref="Q17:S28" si="6">1/(1+EXP(-(MMULT($H17:$I17,L$17:L$18)-L$20)))</f>
        <v>0.66056871761281377</v>
      </c>
      <c r="R17" s="1">
        <f t="shared" si="6"/>
        <v>1.5585539782968507E-2</v>
      </c>
      <c r="S17" s="1">
        <f t="shared" si="6"/>
        <v>0.60566292889013462</v>
      </c>
      <c r="U17" s="14" t="s">
        <v>50</v>
      </c>
      <c r="V17" s="21">
        <v>-0.5</v>
      </c>
      <c r="X17" s="15">
        <f>1/(1+EXP(-(MMULT($P17:$S17,V$17:V$20)-V$22)))</f>
        <v>0.86010291201458333</v>
      </c>
      <c r="Z17" s="15">
        <f>IF(OR(AND(C17=1,X17&lt;0.5),AND(C17=0,X17&gt;=0.5)),1,0)</f>
        <v>0</v>
      </c>
      <c r="AB17" s="16">
        <f>AVERAGE(Z17:Z28)</f>
        <v>0</v>
      </c>
    </row>
    <row r="18" spans="1:28" ht="20.399999999999999" thickBot="1">
      <c r="A18" s="3">
        <v>43</v>
      </c>
      <c r="B18" s="3">
        <v>11</v>
      </c>
      <c r="C18" s="20">
        <v>1</v>
      </c>
      <c r="D18" s="12" t="s">
        <v>21</v>
      </c>
      <c r="E18" s="13">
        <f>STDEV(A17:A28)</f>
        <v>16.928324837921259</v>
      </c>
      <c r="F18" s="13">
        <f>STDEV(B17:B28)</f>
        <v>5.2194275780418922</v>
      </c>
      <c r="H18" s="13">
        <f t="shared" ref="H18:H28" si="7">(A18-$E$17)/$E$18</f>
        <v>-1.4768147610209678E-2</v>
      </c>
      <c r="I18" s="13">
        <f t="shared" ref="I18:I28" si="8">(B18-$F$17)/$F$18</f>
        <v>0.15965990922820031</v>
      </c>
      <c r="K18" s="21">
        <v>-8</v>
      </c>
      <c r="L18" s="21">
        <v>-0.1</v>
      </c>
      <c r="M18" s="21">
        <v>0.9</v>
      </c>
      <c r="N18" s="21">
        <v>3.1</v>
      </c>
      <c r="P18" s="1">
        <f t="shared" ref="P18:P28" si="9">1/(1+EXP(-(MMULT($H18:$I18,K$17:K$18)-K$20)))</f>
        <v>0.68031301232048835</v>
      </c>
      <c r="Q18" s="1">
        <f t="shared" si="6"/>
        <v>0.75952320379697635</v>
      </c>
      <c r="R18" s="1">
        <f t="shared" si="6"/>
        <v>1.9234579478412218E-2</v>
      </c>
      <c r="S18" s="1">
        <f t="shared" si="6"/>
        <v>0.17667763460001212</v>
      </c>
      <c r="U18" s="17" t="s">
        <v>51</v>
      </c>
      <c r="V18" s="21">
        <v>3.9</v>
      </c>
      <c r="X18" s="15">
        <f t="shared" ref="X18:X28" si="10">1/(1+EXP(-(MMULT($P18:$S18,V$17:V$20)-V$22)))</f>
        <v>0.8056084341692592</v>
      </c>
      <c r="Z18" s="15">
        <f t="shared" ref="Z18:Z28" si="11">IF(OR(AND(C18=1,X18&lt;0.5),AND(C18=0,X18&gt;=0.5)),1,0)</f>
        <v>0</v>
      </c>
    </row>
    <row r="19" spans="1:28" ht="20.399999999999999" thickBot="1">
      <c r="A19" s="3">
        <v>50</v>
      </c>
      <c r="B19" s="3">
        <v>9</v>
      </c>
      <c r="C19" s="20">
        <v>1</v>
      </c>
      <c r="H19" s="13">
        <f t="shared" si="7"/>
        <v>0.39873998547566131</v>
      </c>
      <c r="I19" s="13">
        <f t="shared" si="8"/>
        <v>-0.22352387291948017</v>
      </c>
      <c r="K19" s="22"/>
      <c r="L19" s="22"/>
      <c r="M19" s="22"/>
      <c r="N19" s="22"/>
      <c r="P19" s="1">
        <f t="shared" si="9"/>
        <v>0.94838572472646177</v>
      </c>
      <c r="Q19" s="1">
        <f t="shared" si="6"/>
        <v>0.89467920623002151</v>
      </c>
      <c r="R19" s="1">
        <f t="shared" si="6"/>
        <v>0.10269821019326798</v>
      </c>
      <c r="S19" s="1">
        <f t="shared" si="6"/>
        <v>0.14481979462163241</v>
      </c>
      <c r="U19" s="17" t="s">
        <v>52</v>
      </c>
      <c r="V19" s="21">
        <v>-4</v>
      </c>
      <c r="X19" s="15">
        <f t="shared" si="10"/>
        <v>0.80985726602535102</v>
      </c>
      <c r="Z19" s="15">
        <f t="shared" si="11"/>
        <v>0</v>
      </c>
    </row>
    <row r="20" spans="1:28" ht="20.399999999999999" thickBot="1">
      <c r="A20" s="3">
        <v>57</v>
      </c>
      <c r="B20" s="3">
        <v>14</v>
      </c>
      <c r="C20" s="20">
        <v>1</v>
      </c>
      <c r="H20" s="13">
        <f t="shared" si="7"/>
        <v>0.81224811856153234</v>
      </c>
      <c r="I20" s="13">
        <f t="shared" si="8"/>
        <v>0.73443558244972107</v>
      </c>
      <c r="J20" s="14" t="s">
        <v>23</v>
      </c>
      <c r="K20" s="21">
        <v>-2</v>
      </c>
      <c r="L20" s="21">
        <v>-1.2</v>
      </c>
      <c r="M20" s="21">
        <v>4</v>
      </c>
      <c r="N20" s="21">
        <v>2</v>
      </c>
      <c r="P20" s="1">
        <f t="shared" si="9"/>
        <v>3.4620355187913159E-3</v>
      </c>
      <c r="Q20" s="1">
        <f t="shared" si="6"/>
        <v>0.95233534619993576</v>
      </c>
      <c r="R20" s="1">
        <f t="shared" si="6"/>
        <v>0.69071357249898024</v>
      </c>
      <c r="S20" s="1">
        <f t="shared" si="6"/>
        <v>0.89519320681739945</v>
      </c>
      <c r="U20" s="17" t="s">
        <v>53</v>
      </c>
      <c r="V20" s="21">
        <v>1</v>
      </c>
      <c r="X20" s="15">
        <f t="shared" si="10"/>
        <v>0.6329087376998993</v>
      </c>
      <c r="Z20" s="15">
        <f t="shared" si="11"/>
        <v>0</v>
      </c>
    </row>
    <row r="21" spans="1:28" ht="16.8" thickBot="1">
      <c r="A21" s="3">
        <v>71</v>
      </c>
      <c r="B21" s="3">
        <v>5</v>
      </c>
      <c r="C21" s="25">
        <v>0</v>
      </c>
      <c r="H21" s="13">
        <f t="shared" si="7"/>
        <v>1.6392643847332744</v>
      </c>
      <c r="I21" s="13">
        <f t="shared" si="8"/>
        <v>-0.98989143721484119</v>
      </c>
      <c r="P21" s="1">
        <f t="shared" si="9"/>
        <v>0.99819024038246607</v>
      </c>
      <c r="Q21" s="1">
        <f t="shared" si="6"/>
        <v>0.99375244058868628</v>
      </c>
      <c r="R21" s="1">
        <f t="shared" si="6"/>
        <v>0.96980287384687425</v>
      </c>
      <c r="S21" s="1">
        <f t="shared" si="6"/>
        <v>0.21444193552758084</v>
      </c>
      <c r="V21" s="18"/>
      <c r="X21" s="15">
        <f t="shared" si="10"/>
        <v>0.16963304649431907</v>
      </c>
      <c r="Z21" s="15">
        <f>IF(OR(AND(C21=1,X21&lt;0.5),AND(C21=0,X21&gt;=0.5)),1,0)</f>
        <v>0</v>
      </c>
    </row>
    <row r="22" spans="1:28" ht="16.8" thickBot="1">
      <c r="A22" s="3">
        <v>20</v>
      </c>
      <c r="B22" s="3">
        <v>5</v>
      </c>
      <c r="C22" s="25">
        <v>0</v>
      </c>
      <c r="H22" s="13">
        <f t="shared" si="7"/>
        <v>-1.3734377277495002</v>
      </c>
      <c r="I22" s="13">
        <f t="shared" si="8"/>
        <v>-0.98989143721484119</v>
      </c>
      <c r="P22" s="1">
        <f t="shared" si="9"/>
        <v>0.99999760157166895</v>
      </c>
      <c r="Q22" s="1">
        <f t="shared" si="6"/>
        <v>0.13471265312295616</v>
      </c>
      <c r="R22" s="1">
        <f t="shared" si="6"/>
        <v>6.8214293465095242E-6</v>
      </c>
      <c r="S22" s="1">
        <f t="shared" si="6"/>
        <v>2.671133712554703E-4</v>
      </c>
      <c r="U22" s="17" t="s">
        <v>30</v>
      </c>
      <c r="V22" s="21">
        <v>1.3</v>
      </c>
      <c r="X22" s="15">
        <f t="shared" si="10"/>
        <v>0.21850845422703821</v>
      </c>
      <c r="Z22" s="15">
        <f t="shared" si="11"/>
        <v>0</v>
      </c>
    </row>
    <row r="23" spans="1:28">
      <c r="A23" s="3">
        <v>53</v>
      </c>
      <c r="B23" s="3">
        <v>12</v>
      </c>
      <c r="C23" s="20">
        <v>1</v>
      </c>
      <c r="H23" s="13">
        <f t="shared" si="7"/>
        <v>0.57595775679817751</v>
      </c>
      <c r="I23" s="13">
        <f t="shared" si="8"/>
        <v>0.35125180030204056</v>
      </c>
      <c r="P23" s="1">
        <f t="shared" si="9"/>
        <v>0.11134046108098407</v>
      </c>
      <c r="Q23" s="1">
        <f t="shared" si="6"/>
        <v>0.92340793773211083</v>
      </c>
      <c r="R23" s="1">
        <f t="shared" si="6"/>
        <v>0.32158685019883293</v>
      </c>
      <c r="S23" s="1">
        <f t="shared" si="6"/>
        <v>0.60194680406246437</v>
      </c>
      <c r="X23" s="15">
        <f t="shared" si="10"/>
        <v>0.82652836396483154</v>
      </c>
      <c r="Z23" s="15">
        <f t="shared" si="11"/>
        <v>0</v>
      </c>
      <c r="AB23" s="28" t="s">
        <v>32</v>
      </c>
    </row>
    <row r="24" spans="1:28">
      <c r="A24" s="3">
        <v>62</v>
      </c>
      <c r="B24" s="3">
        <v>1</v>
      </c>
      <c r="C24" s="20">
        <v>0</v>
      </c>
      <c r="H24" s="13">
        <f t="shared" si="7"/>
        <v>1.1076110707657258</v>
      </c>
      <c r="I24" s="13">
        <f t="shared" si="8"/>
        <v>-1.7562590015102022</v>
      </c>
      <c r="P24" s="1">
        <f t="shared" si="9"/>
        <v>0.99999877592962605</v>
      </c>
      <c r="Q24" s="1">
        <f t="shared" si="6"/>
        <v>0.98060456133868279</v>
      </c>
      <c r="R24" s="1">
        <f t="shared" si="6"/>
        <v>0.51703923915455663</v>
      </c>
      <c r="S24" s="1">
        <f t="shared" si="6"/>
        <v>7.4143393476586768E-3</v>
      </c>
      <c r="X24" s="15">
        <f t="shared" si="10"/>
        <v>0.49090494931837803</v>
      </c>
      <c r="Z24" s="15">
        <f t="shared" si="11"/>
        <v>0</v>
      </c>
      <c r="AB24" s="15">
        <f>SUMXMY2(C17:C28, X17:X28)</f>
        <v>1.0346965210936938</v>
      </c>
    </row>
    <row r="25" spans="1:28">
      <c r="A25" s="3">
        <v>33</v>
      </c>
      <c r="B25" s="3">
        <v>6</v>
      </c>
      <c r="C25" s="20">
        <v>1</v>
      </c>
      <c r="H25" s="13">
        <f t="shared" si="7"/>
        <v>-0.60549405201859685</v>
      </c>
      <c r="I25" s="13">
        <f t="shared" si="8"/>
        <v>-0.79829954614100085</v>
      </c>
      <c r="P25" s="1">
        <f t="shared" si="9"/>
        <v>0.99993984244031775</v>
      </c>
      <c r="Q25" s="1">
        <f t="shared" si="6"/>
        <v>0.47182827682146428</v>
      </c>
      <c r="R25" s="1">
        <f t="shared" si="6"/>
        <v>4.0691906137563781E-4</v>
      </c>
      <c r="S25" s="1">
        <f t="shared" si="6"/>
        <v>2.8223335491515877E-3</v>
      </c>
      <c r="X25" s="15">
        <f t="shared" si="10"/>
        <v>0.51033728069685402</v>
      </c>
      <c r="Z25" s="15">
        <f t="shared" si="11"/>
        <v>0</v>
      </c>
    </row>
    <row r="26" spans="1:28">
      <c r="A26" s="3">
        <v>25</v>
      </c>
      <c r="B26" s="3">
        <v>15</v>
      </c>
      <c r="C26" s="20">
        <v>0</v>
      </c>
      <c r="H26" s="13">
        <f t="shared" si="7"/>
        <v>-1.0780747755453066</v>
      </c>
      <c r="I26" s="13">
        <f t="shared" si="8"/>
        <v>0.9260274735235613</v>
      </c>
      <c r="P26" s="1">
        <f t="shared" si="9"/>
        <v>4.5805852974880448E-2</v>
      </c>
      <c r="Q26" s="1">
        <f t="shared" si="6"/>
        <v>0.20226871312761385</v>
      </c>
      <c r="R26" s="1">
        <f t="shared" si="6"/>
        <v>1.7253176806324638E-4</v>
      </c>
      <c r="S26" s="1">
        <f t="shared" si="6"/>
        <v>0.16674322192269514</v>
      </c>
      <c r="X26" s="15">
        <f t="shared" si="10"/>
        <v>0.40902393303715345</v>
      </c>
      <c r="Z26" s="15">
        <f t="shared" si="11"/>
        <v>0</v>
      </c>
    </row>
    <row r="27" spans="1:28">
      <c r="A27" s="3">
        <v>48</v>
      </c>
      <c r="B27" s="3">
        <v>19</v>
      </c>
      <c r="C27" s="20">
        <v>1</v>
      </c>
      <c r="H27" s="13">
        <f t="shared" si="7"/>
        <v>0.28059480459398389</v>
      </c>
      <c r="I27" s="13">
        <f t="shared" si="8"/>
        <v>1.6923950378189223</v>
      </c>
      <c r="P27" s="1">
        <f t="shared" si="9"/>
        <v>5.2542455765610498E-6</v>
      </c>
      <c r="Q27" s="1">
        <f t="shared" si="6"/>
        <v>0.84239120607962081</v>
      </c>
      <c r="R27" s="1">
        <f t="shared" si="6"/>
        <v>0.26003032197245646</v>
      </c>
      <c r="S27" s="1">
        <f t="shared" si="6"/>
        <v>0.97999945843882386</v>
      </c>
      <c r="X27" s="15">
        <f t="shared" si="10"/>
        <v>0.87271731849577328</v>
      </c>
      <c r="Z27" s="15">
        <f t="shared" si="11"/>
        <v>0</v>
      </c>
    </row>
    <row r="28" spans="1:28">
      <c r="A28" s="3">
        <v>17</v>
      </c>
      <c r="B28" s="3">
        <v>10</v>
      </c>
      <c r="C28" s="20">
        <v>0</v>
      </c>
      <c r="H28" s="13">
        <f t="shared" si="7"/>
        <v>-1.5506554990720163</v>
      </c>
      <c r="I28" s="13">
        <f t="shared" si="8"/>
        <v>-3.1931981845639924E-2</v>
      </c>
      <c r="P28" s="1">
        <f t="shared" si="9"/>
        <v>0.9965533432057887</v>
      </c>
      <c r="Q28" s="1">
        <f t="shared" si="6"/>
        <v>8.6013271288688992E-2</v>
      </c>
      <c r="R28" s="1">
        <f t="shared" si="6"/>
        <v>6.5431728026115422E-6</v>
      </c>
      <c r="S28" s="1">
        <f t="shared" si="6"/>
        <v>3.4514728207166497E-3</v>
      </c>
      <c r="X28" s="15">
        <f t="shared" si="10"/>
        <v>0.18855916994742325</v>
      </c>
      <c r="Z28" s="15">
        <f t="shared" si="11"/>
        <v>0</v>
      </c>
    </row>
  </sheetData>
  <mergeCells count="12">
    <mergeCell ref="U15:V15"/>
    <mergeCell ref="A1:C1"/>
    <mergeCell ref="D1:F1"/>
    <mergeCell ref="H1:I1"/>
    <mergeCell ref="K1:N1"/>
    <mergeCell ref="P1:S1"/>
    <mergeCell ref="U1:V1"/>
    <mergeCell ref="A15:C15"/>
    <mergeCell ref="D15:F15"/>
    <mergeCell ref="H15:I15"/>
    <mergeCell ref="K15:N15"/>
    <mergeCell ref="P15:S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15"/>
  <sheetViews>
    <sheetView workbookViewId="0">
      <selection activeCell="A17" sqref="A17"/>
    </sheetView>
  </sheetViews>
  <sheetFormatPr defaultRowHeight="16.2"/>
  <cols>
    <col min="1" max="1" width="171.21875" customWidth="1"/>
  </cols>
  <sheetData>
    <row r="1" spans="1:1" s="29" customFormat="1">
      <c r="A1" s="29" t="s">
        <v>36</v>
      </c>
    </row>
    <row r="2" spans="1:1">
      <c r="A2" s="29" t="s">
        <v>35</v>
      </c>
    </row>
    <row r="3" spans="1:1">
      <c r="A3" s="29" t="s">
        <v>37</v>
      </c>
    </row>
    <row r="4" spans="1:1">
      <c r="A4" s="29"/>
    </row>
    <row r="5" spans="1:1">
      <c r="A5" t="s">
        <v>56</v>
      </c>
    </row>
    <row r="10" spans="1:1" ht="15" customHeight="1"/>
    <row r="14" spans="1:1" s="29" customFormat="1" ht="18.600000000000001">
      <c r="A14" s="29" t="s">
        <v>54</v>
      </c>
    </row>
    <row r="15" spans="1:1" s="29" customFormat="1" ht="19.8">
      <c r="A15" s="29" t="s">
        <v>55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3"/>
  <sheetViews>
    <sheetView tabSelected="1" workbookViewId="0">
      <selection activeCell="A9" sqref="A9"/>
    </sheetView>
  </sheetViews>
  <sheetFormatPr defaultRowHeight="16.2"/>
  <cols>
    <col min="1" max="1" width="159.33203125" customWidth="1"/>
  </cols>
  <sheetData>
    <row r="1" spans="1:1" s="29" customFormat="1">
      <c r="A1" s="29" t="s">
        <v>58</v>
      </c>
    </row>
    <row r="2" spans="1:1" s="29" customFormat="1">
      <c r="A2" s="29" t="s">
        <v>34</v>
      </c>
    </row>
    <row r="3" spans="1:1" ht="32.4">
      <c r="A3" s="30" t="s">
        <v>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"/>
  <sheetViews>
    <sheetView workbookViewId="0">
      <selection activeCell="M27" sqref="M27"/>
    </sheetView>
  </sheetViews>
  <sheetFormatPr defaultRowHeight="16.2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"/>
  <sheetViews>
    <sheetView workbookViewId="0">
      <selection activeCell="G29" sqref="G29"/>
    </sheetView>
  </sheetViews>
  <sheetFormatPr defaultRowHeight="16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1.(50)_神經網路_分類_期末考題目 陽光旅行社</vt:lpstr>
      <vt:lpstr>2.(3５)類神經網路申論題</vt:lpstr>
      <vt:lpstr>3.(15)KNN及類神經網路的不同</vt:lpstr>
      <vt:lpstr>附圖1</vt:lpstr>
      <vt:lpstr>附圖2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2022-01-07T00:06:05Z</dcterms:created>
  <dcterms:modified xsi:type="dcterms:W3CDTF">2023-01-10T06:23:22Z</dcterms:modified>
</cp:coreProperties>
</file>