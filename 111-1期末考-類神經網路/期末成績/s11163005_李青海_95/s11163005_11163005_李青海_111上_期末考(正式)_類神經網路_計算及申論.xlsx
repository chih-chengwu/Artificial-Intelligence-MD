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4.研究所\4-1.教學\1.人工智慧\期末考\hw100111993\s11163005_李青海\"/>
    </mc:Choice>
  </mc:AlternateContent>
  <bookViews>
    <workbookView xWindow="0" yWindow="0" windowWidth="23040" windowHeight="9012" activeTab="1"/>
  </bookViews>
  <sheets>
    <sheet name="1.(50)_神經網路_分類_期末考題目 陽光旅行社" sheetId="2" r:id="rId1"/>
    <sheet name="2.(3５)類神經網路申論題" sheetId="4" r:id="rId2"/>
    <sheet name="3.(15)KNN及類神經網路的不同" sheetId="6" r:id="rId3"/>
    <sheet name="附圖1" sheetId="3" r:id="rId4"/>
    <sheet name="附圖2" sheetId="5" r:id="rId5"/>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8" i="2" l="1"/>
  <c r="U18" i="2"/>
  <c r="S26" i="2"/>
  <c r="T26" i="2"/>
  <c r="U26" i="2"/>
  <c r="I18" i="2"/>
  <c r="R18" i="2" s="1"/>
  <c r="J18" i="2"/>
  <c r="S18" i="2" s="1"/>
  <c r="I19" i="2"/>
  <c r="R19" i="2" s="1"/>
  <c r="J19" i="2"/>
  <c r="J25" i="2"/>
  <c r="I26" i="2"/>
  <c r="R26" i="2" s="1"/>
  <c r="J26" i="2"/>
  <c r="I27" i="2"/>
  <c r="R27" i="2" s="1"/>
  <c r="J27" i="2"/>
  <c r="G18" i="2"/>
  <c r="F18" i="2"/>
  <c r="G17" i="2"/>
  <c r="J20" i="2" s="1"/>
  <c r="F17" i="2"/>
  <c r="I20" i="2" s="1"/>
  <c r="J9" i="2"/>
  <c r="J10" i="2"/>
  <c r="I11" i="2"/>
  <c r="G4" i="2"/>
  <c r="F4" i="2"/>
  <c r="G3" i="2"/>
  <c r="J11" i="2" s="1"/>
  <c r="F3" i="2"/>
  <c r="I4" i="2" s="1"/>
  <c r="Z26" i="2" l="1"/>
  <c r="AB26" i="2" s="1"/>
  <c r="Z18" i="2"/>
  <c r="AB18" i="2" s="1"/>
  <c r="U11" i="2"/>
  <c r="R20" i="2"/>
  <c r="S20" i="2"/>
  <c r="T20" i="2"/>
  <c r="U20" i="2"/>
  <c r="S11" i="2"/>
  <c r="I9" i="2"/>
  <c r="J7" i="2"/>
  <c r="I24" i="2"/>
  <c r="R11" i="2"/>
  <c r="J23" i="2"/>
  <c r="I23" i="2"/>
  <c r="J24" i="2"/>
  <c r="I7" i="2"/>
  <c r="J6" i="2"/>
  <c r="I14" i="2"/>
  <c r="J22" i="2"/>
  <c r="I3" i="2"/>
  <c r="J13" i="2"/>
  <c r="I22" i="2"/>
  <c r="I25" i="2"/>
  <c r="I8" i="2"/>
  <c r="J3" i="2"/>
  <c r="J5" i="2"/>
  <c r="I13" i="2"/>
  <c r="I5" i="2"/>
  <c r="J17" i="2"/>
  <c r="J21" i="2"/>
  <c r="U27" i="2"/>
  <c r="U19" i="2"/>
  <c r="J14" i="2"/>
  <c r="J12" i="2"/>
  <c r="J4" i="2"/>
  <c r="R4" i="2" s="1"/>
  <c r="I17" i="2"/>
  <c r="I21" i="2"/>
  <c r="T27" i="2"/>
  <c r="T19" i="2"/>
  <c r="T11" i="2"/>
  <c r="I10" i="2"/>
  <c r="J8" i="2"/>
  <c r="I6" i="2"/>
  <c r="I12" i="2"/>
  <c r="J28" i="2"/>
  <c r="S27" i="2"/>
  <c r="S19" i="2"/>
  <c r="I28" i="2"/>
  <c r="Z19" i="2" l="1"/>
  <c r="AB19" i="2" s="1"/>
  <c r="Z27" i="2"/>
  <c r="AB27" i="2" s="1"/>
  <c r="S9" i="2"/>
  <c r="T9" i="2"/>
  <c r="R9" i="2"/>
  <c r="Z9" i="2" s="1"/>
  <c r="AB9" i="2" s="1"/>
  <c r="U9" i="2"/>
  <c r="T25" i="2"/>
  <c r="U25" i="2"/>
  <c r="S25" i="2"/>
  <c r="R25" i="2"/>
  <c r="S13" i="2"/>
  <c r="T13" i="2"/>
  <c r="R13" i="2"/>
  <c r="U13" i="2"/>
  <c r="U4" i="2"/>
  <c r="R24" i="2"/>
  <c r="S24" i="2"/>
  <c r="T24" i="2"/>
  <c r="U24" i="2"/>
  <c r="T4" i="2"/>
  <c r="S6" i="2"/>
  <c r="U6" i="2"/>
  <c r="T6" i="2"/>
  <c r="R6" i="2"/>
  <c r="Z6" i="2" s="1"/>
  <c r="AB6" i="2" s="1"/>
  <c r="T10" i="2"/>
  <c r="R10" i="2"/>
  <c r="U10" i="2"/>
  <c r="S10" i="2"/>
  <c r="U7" i="2"/>
  <c r="R7" i="2"/>
  <c r="Z7" i="2" s="1"/>
  <c r="AB7" i="2" s="1"/>
  <c r="S7" i="2"/>
  <c r="T7" i="2"/>
  <c r="S4" i="2"/>
  <c r="Z4" i="2" s="1"/>
  <c r="AB4" i="2" s="1"/>
  <c r="T17" i="2"/>
  <c r="R17" i="2"/>
  <c r="S17" i="2"/>
  <c r="U17" i="2"/>
  <c r="R8" i="2"/>
  <c r="S8" i="2"/>
  <c r="T8" i="2"/>
  <c r="U8" i="2"/>
  <c r="S22" i="2"/>
  <c r="R22" i="2"/>
  <c r="T22" i="2"/>
  <c r="U22" i="2"/>
  <c r="Z20" i="2"/>
  <c r="AB20" i="2" s="1"/>
  <c r="R14" i="2"/>
  <c r="S14" i="2"/>
  <c r="T14" i="2"/>
  <c r="U14" i="2"/>
  <c r="S21" i="2"/>
  <c r="T21" i="2"/>
  <c r="U21" i="2"/>
  <c r="R21" i="2"/>
  <c r="R3" i="2"/>
  <c r="T3" i="2"/>
  <c r="U3" i="2"/>
  <c r="S3" i="2"/>
  <c r="R28" i="2"/>
  <c r="S28" i="2"/>
  <c r="T28" i="2"/>
  <c r="U28" i="2"/>
  <c r="R23" i="2"/>
  <c r="S23" i="2"/>
  <c r="T23" i="2"/>
  <c r="U23" i="2"/>
  <c r="R12" i="2"/>
  <c r="S12" i="2"/>
  <c r="T12" i="2"/>
  <c r="U12" i="2"/>
  <c r="S5" i="2"/>
  <c r="R5" i="2"/>
  <c r="T5" i="2"/>
  <c r="U5" i="2"/>
  <c r="Z11" i="2"/>
  <c r="AB11" i="2" s="1"/>
  <c r="Z24" i="2" l="1"/>
  <c r="AB24" i="2" s="1"/>
  <c r="Z21" i="2"/>
  <c r="AB21" i="2" s="1"/>
  <c r="Z13" i="2"/>
  <c r="AB13" i="2" s="1"/>
  <c r="Z10" i="2"/>
  <c r="AB10" i="2" s="1"/>
  <c r="Z25" i="2"/>
  <c r="AB25" i="2" s="1"/>
  <c r="Z14" i="2"/>
  <c r="AB14" i="2" s="1"/>
  <c r="Z28" i="2"/>
  <c r="AB28" i="2" s="1"/>
  <c r="Z8" i="2"/>
  <c r="AB8" i="2" s="1"/>
  <c r="Z5" i="2"/>
  <c r="AB5" i="2" s="1"/>
  <c r="Z23" i="2"/>
  <c r="AB23" i="2" s="1"/>
  <c r="Z12" i="2"/>
  <c r="AB12" i="2" s="1"/>
  <c r="Z17" i="2"/>
  <c r="Z22" i="2"/>
  <c r="AB22" i="2" s="1"/>
  <c r="Z3" i="2"/>
  <c r="AD24" i="2" l="1"/>
  <c r="AB17" i="2"/>
  <c r="AD17" i="2" s="1"/>
  <c r="AD10" i="2"/>
  <c r="AB3" i="2"/>
  <c r="AD3" i="2" s="1"/>
</calcChain>
</file>

<file path=xl/sharedStrings.xml><?xml version="1.0" encoding="utf-8"?>
<sst xmlns="http://schemas.openxmlformats.org/spreadsheetml/2006/main" count="79" uniqueCount="61">
  <si>
    <t>Age</t>
    <phoneticPr fontId="2" type="noConversion"/>
  </si>
  <si>
    <t>樣本</t>
    <phoneticPr fontId="1" type="noConversion"/>
  </si>
  <si>
    <t>平均值/標準差</t>
    <phoneticPr fontId="1" type="noConversion"/>
  </si>
  <si>
    <t>資料正規化</t>
    <phoneticPr fontId="1" type="noConversion"/>
  </si>
  <si>
    <t>萃取係數</t>
    <phoneticPr fontId="1" type="noConversion"/>
  </si>
  <si>
    <t>依據萃取系數-(萃)取出每一樣本, 4個角度的特徵值</t>
    <phoneticPr fontId="1" type="noConversion"/>
  </si>
  <si>
    <t>權重</t>
    <phoneticPr fontId="1" type="noConversion"/>
  </si>
  <si>
    <t>Outcome</t>
    <phoneticPr fontId="1" type="noConversion"/>
  </si>
  <si>
    <t>誤判值</t>
    <phoneticPr fontId="1" type="noConversion"/>
  </si>
  <si>
    <t>訓練誤判率</t>
    <phoneticPr fontId="1" type="noConversion"/>
  </si>
  <si>
    <t>Income</t>
    <phoneticPr fontId="2" type="noConversion"/>
  </si>
  <si>
    <t>Income</t>
    <phoneticPr fontId="2" type="noConversion"/>
  </si>
  <si>
    <t>參加否</t>
    <phoneticPr fontId="2" type="noConversion"/>
  </si>
  <si>
    <t>Age</t>
    <phoneticPr fontId="1" type="noConversion"/>
  </si>
  <si>
    <t>Income</t>
    <phoneticPr fontId="1" type="noConversion"/>
  </si>
  <si>
    <t>Age</t>
    <phoneticPr fontId="1" type="noConversion"/>
  </si>
  <si>
    <t>H1</t>
  </si>
  <si>
    <t>H2</t>
  </si>
  <si>
    <t>H3</t>
  </si>
  <si>
    <t>H4</t>
  </si>
  <si>
    <t>average</t>
    <phoneticPr fontId="1" type="noConversion"/>
  </si>
  <si>
    <t>stdev</t>
    <phoneticPr fontId="1" type="noConversion"/>
  </si>
  <si>
    <t>stdev</t>
    <phoneticPr fontId="1" type="noConversion"/>
  </si>
  <si>
    <t>Theta</t>
    <phoneticPr fontId="2" type="noConversion"/>
  </si>
  <si>
    <t>資料正規化</t>
    <phoneticPr fontId="1" type="noConversion"/>
  </si>
  <si>
    <t>萃取係數</t>
    <phoneticPr fontId="1" type="noConversion"/>
  </si>
  <si>
    <t>(萃)取出每一樣本, 4個角度的特徵值</t>
    <phoneticPr fontId="1" type="noConversion"/>
  </si>
  <si>
    <t>Outcome</t>
    <phoneticPr fontId="1" type="noConversion"/>
  </si>
  <si>
    <t>測試誤判率</t>
    <phoneticPr fontId="1" type="noConversion"/>
  </si>
  <si>
    <t>Age</t>
    <phoneticPr fontId="2" type="noConversion"/>
  </si>
  <si>
    <t>Theta</t>
    <phoneticPr fontId="2" type="noConversion"/>
  </si>
  <si>
    <t>預測的分數</t>
    <phoneticPr fontId="2" type="noConversion"/>
  </si>
  <si>
    <t>訓練誤差平方和</t>
  </si>
  <si>
    <t>預測的分數</t>
    <phoneticPr fontId="2" type="noConversion"/>
  </si>
  <si>
    <t xml:space="preserve">註:最近鄰居法分類法(Ｋ-Nearest-Neighbor,KNN) ； 類神經網路(Neural Network, NN) </t>
    <phoneticPr fontId="1" type="noConversion"/>
  </si>
  <si>
    <t xml:space="preserve">      評估:損失函數(Loss)大都使用 Mean Square Error 來計算，而且訓練時大都使用梯度下降法(Gradient Descent)來尋找最佳的參數值以得到最小的損失函數 (Loss) </t>
    <phoneticPr fontId="1" type="noConversion"/>
  </si>
  <si>
    <t>題目1:在類神經網路中，權重W在初始化時都是隨機給予，因此一開始時誤差很大，需要經過多次的訓練調整參數W來減少誤差提高精確率，</t>
    <phoneticPr fontId="1" type="noConversion"/>
  </si>
  <si>
    <r>
      <t>X</t>
    </r>
    <r>
      <rPr>
        <vertAlign val="subscript"/>
        <sz val="12"/>
        <color rgb="FFC00000"/>
        <rFont val="新細明體"/>
        <family val="1"/>
        <charset val="136"/>
        <scheme val="minor"/>
      </rPr>
      <t>1</t>
    </r>
    <phoneticPr fontId="2" type="noConversion"/>
  </si>
  <si>
    <r>
      <t>X</t>
    </r>
    <r>
      <rPr>
        <vertAlign val="subscript"/>
        <sz val="12"/>
        <color rgb="FFC00000"/>
        <rFont val="新細明體"/>
        <family val="1"/>
        <charset val="136"/>
        <scheme val="minor"/>
      </rPr>
      <t>1</t>
    </r>
    <phoneticPr fontId="2" type="noConversion"/>
  </si>
  <si>
    <r>
      <t>X</t>
    </r>
    <r>
      <rPr>
        <vertAlign val="subscript"/>
        <sz val="12"/>
        <color rgb="FFC00000"/>
        <rFont val="新細明體"/>
        <family val="1"/>
        <charset val="136"/>
        <scheme val="minor"/>
      </rPr>
      <t>2</t>
    </r>
    <phoneticPr fontId="1" type="noConversion"/>
  </si>
  <si>
    <r>
      <t>X</t>
    </r>
    <r>
      <rPr>
        <vertAlign val="subscript"/>
        <sz val="12"/>
        <color rgb="FFC00000"/>
        <rFont val="新細明體"/>
        <family val="1"/>
        <charset val="136"/>
        <scheme val="minor"/>
      </rPr>
      <t>3</t>
    </r>
    <phoneticPr fontId="2" type="noConversion"/>
  </si>
  <si>
    <r>
      <t>X</t>
    </r>
    <r>
      <rPr>
        <vertAlign val="subscript"/>
        <sz val="12"/>
        <color rgb="FFC00000"/>
        <rFont val="新細明體"/>
        <family val="1"/>
        <charset val="136"/>
        <scheme val="minor"/>
      </rPr>
      <t>4</t>
    </r>
    <phoneticPr fontId="2" type="noConversion"/>
  </si>
  <si>
    <r>
      <t>X</t>
    </r>
    <r>
      <rPr>
        <vertAlign val="subscript"/>
        <sz val="12"/>
        <color rgb="FFC00000"/>
        <rFont val="新細明體"/>
        <family val="1"/>
        <charset val="136"/>
        <scheme val="minor"/>
      </rPr>
      <t>4</t>
    </r>
    <phoneticPr fontId="2" type="noConversion"/>
  </si>
  <si>
    <r>
      <t>X</t>
    </r>
    <r>
      <rPr>
        <vertAlign val="subscript"/>
        <sz val="12"/>
        <color rgb="FFC00000"/>
        <rFont val="新細明體"/>
        <family val="1"/>
        <charset val="136"/>
        <scheme val="minor"/>
      </rPr>
      <t>3</t>
    </r>
    <phoneticPr fontId="2" type="noConversion"/>
  </si>
  <si>
    <r>
      <t>X</t>
    </r>
    <r>
      <rPr>
        <vertAlign val="subscript"/>
        <sz val="12"/>
        <color rgb="FFC00000"/>
        <rFont val="新細明體"/>
        <family val="1"/>
        <charset val="136"/>
        <scheme val="minor"/>
      </rPr>
      <t>2</t>
    </r>
    <phoneticPr fontId="1" type="noConversion"/>
  </si>
  <si>
    <r>
      <t>W</t>
    </r>
    <r>
      <rPr>
        <vertAlign val="subscript"/>
        <sz val="12"/>
        <color rgb="FF00B0F0"/>
        <rFont val="新細明體"/>
        <family val="1"/>
        <charset val="136"/>
        <scheme val="minor"/>
      </rPr>
      <t>1</t>
    </r>
    <phoneticPr fontId="2" type="noConversion"/>
  </si>
  <si>
    <r>
      <t>W</t>
    </r>
    <r>
      <rPr>
        <vertAlign val="subscript"/>
        <sz val="12"/>
        <color rgb="FF00B0F0"/>
        <rFont val="新細明體"/>
        <family val="1"/>
        <charset val="136"/>
        <scheme val="minor"/>
      </rPr>
      <t>2</t>
    </r>
    <phoneticPr fontId="1" type="noConversion"/>
  </si>
  <si>
    <r>
      <t>W</t>
    </r>
    <r>
      <rPr>
        <vertAlign val="subscript"/>
        <sz val="12"/>
        <color rgb="FF00B0F0"/>
        <rFont val="新細明體"/>
        <family val="1"/>
        <charset val="136"/>
        <scheme val="minor"/>
      </rPr>
      <t>3</t>
    </r>
    <phoneticPr fontId="1" type="noConversion"/>
  </si>
  <si>
    <r>
      <t>W</t>
    </r>
    <r>
      <rPr>
        <vertAlign val="subscript"/>
        <sz val="12"/>
        <color rgb="FF00B0F0"/>
        <rFont val="新細明體"/>
        <family val="1"/>
        <charset val="136"/>
        <scheme val="minor"/>
      </rPr>
      <t>4</t>
    </r>
    <phoneticPr fontId="1" type="noConversion"/>
  </si>
  <si>
    <r>
      <t>W</t>
    </r>
    <r>
      <rPr>
        <vertAlign val="subscript"/>
        <sz val="12"/>
        <color rgb="FF00B0F0"/>
        <rFont val="新細明體"/>
        <family val="1"/>
        <charset val="136"/>
        <scheme val="minor"/>
      </rPr>
      <t>1</t>
    </r>
    <phoneticPr fontId="2" type="noConversion"/>
  </si>
  <si>
    <r>
      <t>W</t>
    </r>
    <r>
      <rPr>
        <vertAlign val="subscript"/>
        <sz val="12"/>
        <color rgb="FF00B0F0"/>
        <rFont val="新細明體"/>
        <family val="1"/>
        <charset val="136"/>
        <scheme val="minor"/>
      </rPr>
      <t>2</t>
    </r>
    <phoneticPr fontId="1" type="noConversion"/>
  </si>
  <si>
    <r>
      <t>W</t>
    </r>
    <r>
      <rPr>
        <vertAlign val="subscript"/>
        <sz val="12"/>
        <color rgb="FF00B0F0"/>
        <rFont val="新細明體"/>
        <family val="1"/>
        <charset val="136"/>
        <scheme val="minor"/>
      </rPr>
      <t>3</t>
    </r>
    <phoneticPr fontId="1" type="noConversion"/>
  </si>
  <si>
    <r>
      <t>W</t>
    </r>
    <r>
      <rPr>
        <vertAlign val="subscript"/>
        <sz val="12"/>
        <color rgb="FF00B0F0"/>
        <rFont val="新細明體"/>
        <family val="1"/>
        <charset val="136"/>
        <scheme val="minor"/>
      </rPr>
      <t>4</t>
    </r>
    <phoneticPr fontId="1" type="noConversion"/>
  </si>
  <si>
    <r>
      <t>題目2:如附圖2，在使用梯度下降法時, 假設 L(W)=MSE = 8W</t>
    </r>
    <r>
      <rPr>
        <vertAlign val="superscript"/>
        <sz val="12"/>
        <color rgb="FF0000FF"/>
        <rFont val="標楷體"/>
        <family val="4"/>
        <charset val="136"/>
      </rPr>
      <t xml:space="preserve">2 </t>
    </r>
    <r>
      <rPr>
        <sz val="12"/>
        <color rgb="FF0000FF"/>
        <rFont val="標楷體"/>
        <family val="4"/>
        <charset val="136"/>
      </rPr>
      <t>+ 0.8  、且超參數</t>
    </r>
    <r>
      <rPr>
        <b/>
        <sz val="12"/>
        <color rgb="FFFF0000"/>
        <rFont val="Times New Roman"/>
        <family val="1"/>
      </rPr>
      <t>Ƞ</t>
    </r>
    <r>
      <rPr>
        <sz val="12"/>
        <color rgb="FF0000FF"/>
        <rFont val="標楷體"/>
        <family val="4"/>
        <charset val="136"/>
      </rPr>
      <t xml:space="preserve"> = 0.02</t>
    </r>
    <phoneticPr fontId="1" type="noConversion"/>
  </si>
  <si>
    <r>
      <t>　　　又假設第一次訓練時Ｗ</t>
    </r>
    <r>
      <rPr>
        <vertAlign val="subscript"/>
        <sz val="12"/>
        <color rgb="FF0000FF"/>
        <rFont val="標楷體"/>
        <family val="4"/>
        <charset val="136"/>
      </rPr>
      <t>1</t>
    </r>
    <r>
      <rPr>
        <sz val="12"/>
        <color rgb="FF0000FF"/>
        <rFont val="標楷體"/>
        <family val="4"/>
        <charset val="136"/>
      </rPr>
      <t>＝-2.9，請問要訓練第3次時Ｗ</t>
    </r>
    <r>
      <rPr>
        <vertAlign val="subscript"/>
        <sz val="12"/>
        <color rgb="FF0000FF"/>
        <rFont val="標楷體"/>
        <family val="4"/>
        <charset val="136"/>
      </rPr>
      <t>3</t>
    </r>
    <r>
      <rPr>
        <sz val="12"/>
        <color rgb="FF0000FF"/>
        <rFont val="標楷體"/>
        <family val="4"/>
        <charset val="136"/>
      </rPr>
      <t>等於多少 （需附上：L(W)的曲線圖、計算過程及說明）(15)</t>
    </r>
    <phoneticPr fontId="1" type="noConversion"/>
  </si>
  <si>
    <t>答案：MSE損失函數的計算結果是loss(誤差值)越小代表模型輸出(預測結果)與labels(真實的值)越接近，也就是說準確率越高。</t>
    <phoneticPr fontId="1" type="noConversion"/>
  </si>
  <si>
    <t xml:space="preserve">最近鄰居法（KNN演算法，又譯K-近鄰演算法）是一種用於分類和迴歸的無母數統計方法。在這兩種情況下，輸入包含特徵空間（Feature Space）中的k個最接近的訓練樣本。
在k-NN分類中，輸出是一個分類族群。一個物件的分類是由其鄰居的「多數表決」確定的，k個最近鄰居（k為正整數，通常較小）中最常見的分類決定了賦予該物件的類別。若k = 1，則該物件的類別直接由最近的一個節點賦予。
在k-NN迴歸中，輸出是該物件的屬性值。該值是其k個最近鄰居的值的平均值。
最近鄰居法採用向量空間模型來分類，概念為相同類別的案例，彼此的相似度高，而可以藉由計算與已知類別案例之相似度，來評估未知類別案例可能的分類。
K-NN是一種基於實例的學習，或者是局部近似和將所有計算推遲到分類之後的惰性學習。k-近鄰演算法是所有的機器學習演算法中最簡單的之一。
無論是分類還是迴歸，衡量鄰居的權重都非常有用，使較近鄰居的權重比較遠鄰居的權重大。例如，一種常見的加權方案是給每個鄰居權重賦值為1/ d，其中d是到鄰居的距離。
鄰居都取自一組已經正確分類（在迴歸的情況下，指屬性值正確）的物件。雖然沒要求明確的訓練步驟，但這也可以當作是此演算法的一個訓練樣本集。
k-近鄰演算法的缺點是對資料的局部結構非常敏感。
K-平均演算法也是流行的機器學習技術，其名稱和k-近鄰演算法相近，但兩者沒有關係。資料標準化可以大大提高該演算法的準確性。
</t>
    <phoneticPr fontId="1" type="noConversion"/>
  </si>
  <si>
    <t xml:space="preserve">神經網路（Neural Network，NN）或類神經網路，在機器學習和認知科學領域，是一種模仿生物神經網路（動物的中樞神經系統，特別是大腦）的結構和功能的數學模型或計算模型，用於對函式進行估計或近似。神經網路由大量的人工神經元聯結進行計算。大多數情況下人工神經網路能在外界資訊的基礎上改變內部結構，是一種自適應系統，通俗地講就是具備學習功能。現代神經網路是一種非線性統計性資料建模工具，神經網路通常是通過一個基於數學統計學類型的學習方法（Learning Method）得以最佳化，所以也是數學統計學方法的一種實際應用，通過統計學的標準數學方法我們能夠得到大量的可以用函式來表達的局部結構空間，另一方面在人工智慧學的人工感知領域，我們通過數學統計學的應用可以來做人工感知方面的決定問題（也就是說通過統計學的方法，人工神經網路能夠類似人一樣具有簡單的決定能力和簡單的判斷能力），這種方法比起正式的邏輯學推理演算更具有優勢。
和其他機器學習方法一樣，神經網路已經被用於解決各種各樣的問題，例如機器視覺和語音辨識。這些問題都是很難被傳統基於規則的編程所解決的。
</t>
    <phoneticPr fontId="1" type="noConversion"/>
  </si>
  <si>
    <t>在模式識別領域中，K - 近鄰演算法（K-Nearest Neighbor, KNN）是一種用於分類和回歸的非參數統計方法。K - 近鄰演算法非常簡單而有效，它的模型表示就是整個訓練資料集。就原理而言，對新資料點的預測結果是通過在整個訓練集上搜索與該資料點最相似的 K 個實例（近鄰）並且總結這 K 個實例的輸出變數而得出的。KNN 可能需要大量的記憶體或空間來存儲所有資料，並且使用距離或接近程度的度量方法可能會在維度非常高的情況下（有許多輸入變數）崩潰，這可能會對演算法在你的問題上的性能產生負面影響。這就是所謂的維數災難。
近似最近鄰演算法（Approximate Nearest Neighbor, ANN）則是一種通過犧牲精度來換取時間和空間的方式從大量樣本中獲取最近鄰的方法，並以其存儲空間少、查找效率高等優點引起了人們的廣泛關注。
ANN 比 KNN 快</t>
    <phoneticPr fontId="1" type="noConversion"/>
  </si>
  <si>
    <t xml:space="preserve">      如附圖１，假設我們只有使用一個權重參數W，請說明為什麼 Loss(W) 跟W的關係是曲線的關係? (20) 19</t>
    <phoneticPr fontId="1" type="noConversion"/>
  </si>
  <si>
    <t>題目3: KNN及類神經網路兩種演算法，都是用來作分類，目的都是預測新樣本的值，請說明二者計算原理最大的不同是什麼? (15)12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</si>
</sst>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2"/>
      <color theme="1"/>
      <name val="新細明體"/>
      <family val="2"/>
      <charset val="136"/>
      <scheme val="minor"/>
    </font>
    <font>
      <sz val="9"/>
      <name val="新細明體"/>
      <family val="2"/>
      <charset val="136"/>
      <scheme val="minor"/>
    </font>
    <font>
      <sz val="9"/>
      <name val="新細明體"/>
      <family val="1"/>
      <charset val="136"/>
    </font>
    <font>
      <sz val="12"/>
      <color rgb="FFFF0000"/>
      <name val="新細明體"/>
      <family val="1"/>
      <charset val="136"/>
    </font>
    <font>
      <sz val="12"/>
      <name val="新細明體"/>
      <family val="1"/>
      <charset val="136"/>
    </font>
    <font>
      <sz val="12"/>
      <color rgb="FFFF0000"/>
      <name val="新細明體"/>
      <family val="2"/>
      <charset val="136"/>
      <scheme val="minor"/>
    </font>
    <font>
      <sz val="12"/>
      <color theme="0"/>
      <name val="新細明體"/>
      <family val="2"/>
      <charset val="136"/>
      <scheme val="minor"/>
    </font>
    <font>
      <sz val="12"/>
      <color theme="0"/>
      <name val="新細明體"/>
      <family val="1"/>
      <charset val="136"/>
      <scheme val="minor"/>
    </font>
    <font>
      <sz val="12"/>
      <color rgb="FF00B0F0"/>
      <name val="新細明體"/>
      <family val="2"/>
      <charset val="136"/>
      <scheme val="minor"/>
    </font>
    <font>
      <sz val="12"/>
      <color rgb="FFFF0000"/>
      <name val="新細明體"/>
      <family val="1"/>
      <charset val="136"/>
      <scheme val="minor"/>
    </font>
    <font>
      <sz val="12"/>
      <color rgb="FFC00000"/>
      <name val="新細明體"/>
      <family val="2"/>
      <charset val="136"/>
      <scheme val="minor"/>
    </font>
    <font>
      <sz val="12"/>
      <color rgb="FFC00000"/>
      <name val="新細明體"/>
      <family val="1"/>
      <charset val="136"/>
    </font>
    <font>
      <sz val="12"/>
      <color rgb="FFC00000"/>
      <name val="新細明體"/>
      <family val="1"/>
      <charset val="136"/>
      <scheme val="minor"/>
    </font>
    <font>
      <sz val="12"/>
      <color theme="4"/>
      <name val="新細明體"/>
      <family val="1"/>
      <charset val="136"/>
      <scheme val="minor"/>
    </font>
    <font>
      <sz val="12"/>
      <color rgb="FF00B0F0"/>
      <name val="新細明體"/>
      <family val="1"/>
      <charset val="136"/>
      <scheme val="minor"/>
    </font>
    <font>
      <sz val="12"/>
      <color rgb="FFFF0000"/>
      <name val="新細明體"/>
      <family val="2"/>
      <charset val="136"/>
    </font>
    <font>
      <b/>
      <sz val="12"/>
      <color rgb="FF0000FF"/>
      <name val="新細明體"/>
      <family val="1"/>
      <charset val="136"/>
      <scheme val="minor"/>
    </font>
    <font>
      <sz val="12"/>
      <color rgb="FF0000FF"/>
      <name val="標楷體"/>
      <family val="4"/>
      <charset val="136"/>
    </font>
    <font>
      <vertAlign val="superscript"/>
      <sz val="12"/>
      <color rgb="FF0000FF"/>
      <name val="標楷體"/>
      <family val="4"/>
      <charset val="136"/>
    </font>
    <font>
      <b/>
      <sz val="12"/>
      <color rgb="FFFF0000"/>
      <name val="Times New Roman"/>
      <family val="1"/>
    </font>
    <font>
      <vertAlign val="subscript"/>
      <sz val="12"/>
      <color rgb="FF0000FF"/>
      <name val="標楷體"/>
      <family val="4"/>
      <charset val="136"/>
    </font>
    <font>
      <vertAlign val="subscript"/>
      <sz val="12"/>
      <color rgb="FFC00000"/>
      <name val="新細明體"/>
      <family val="1"/>
      <charset val="136"/>
      <scheme val="minor"/>
    </font>
    <font>
      <vertAlign val="subscript"/>
      <sz val="12"/>
      <color rgb="FF00B0F0"/>
      <name val="新細明體"/>
      <family val="1"/>
      <charset val="136"/>
      <scheme val="minor"/>
    </font>
    <font>
      <sz val="12"/>
      <color theme="1"/>
      <name val="新細明體"/>
      <family val="2"/>
      <charset val="136"/>
      <scheme val="minor"/>
    </font>
    <font>
      <sz val="14"/>
      <color theme="1"/>
      <name val="標楷體"/>
      <family val="4"/>
      <charset val="136"/>
    </font>
  </fonts>
  <fills count="8">
    <fill>
      <patternFill patternType="none"/>
    </fill>
    <fill>
      <patternFill patternType="gray125"/>
    </fill>
    <fill>
      <patternFill patternType="solid">
        <fgColor rgb="FF00B050"/>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3999755851924192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alignment vertical="center"/>
    </xf>
    <xf numFmtId="0" fontId="4" fillId="0" borderId="0">
      <alignment vertical="center"/>
    </xf>
    <xf numFmtId="9" fontId="23" fillId="0" borderId="0" applyFont="0" applyFill="0" applyBorder="0" applyAlignment="0" applyProtection="0">
      <alignment vertical="center"/>
    </xf>
  </cellStyleXfs>
  <cellXfs count="37">
    <xf numFmtId="0" fontId="0" fillId="0" borderId="0" xfId="0">
      <alignment vertical="center"/>
    </xf>
    <xf numFmtId="0" fontId="0" fillId="3" borderId="0" xfId="0" applyFill="1">
      <alignment vertical="center"/>
    </xf>
    <xf numFmtId="0" fontId="0" fillId="0" borderId="0" xfId="0" applyAlignment="1">
      <alignment horizontal="center" vertical="center"/>
    </xf>
    <xf numFmtId="0" fontId="5" fillId="0" borderId="0" xfId="0" applyFont="1">
      <alignment vertical="center"/>
    </xf>
    <xf numFmtId="0" fontId="8" fillId="0" borderId="0" xfId="0" applyFont="1">
      <alignment vertical="center"/>
    </xf>
    <xf numFmtId="0" fontId="6" fillId="2" borderId="0" xfId="0" applyFont="1" applyFill="1" applyAlignment="1">
      <alignment horizontal="center" vertical="center"/>
    </xf>
    <xf numFmtId="0" fontId="10" fillId="0" borderId="0" xfId="0" applyFont="1" applyAlignment="1">
      <alignment horizontal="center" vertical="center"/>
    </xf>
    <xf numFmtId="0" fontId="11" fillId="0" borderId="0" xfId="1"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4" borderId="0" xfId="0" applyFont="1" applyFill="1" applyAlignment="1">
      <alignment horizontal="center" vertical="center"/>
    </xf>
    <xf numFmtId="0" fontId="3" fillId="0" borderId="0" xfId="1" applyFont="1">
      <alignment vertical="center"/>
    </xf>
    <xf numFmtId="0" fontId="14" fillId="0" borderId="0" xfId="0" applyFont="1">
      <alignment vertical="center"/>
    </xf>
    <xf numFmtId="0" fontId="0" fillId="5" borderId="0" xfId="0" applyFill="1">
      <alignment vertical="center"/>
    </xf>
    <xf numFmtId="0" fontId="8" fillId="0" borderId="1" xfId="0" applyFont="1" applyBorder="1">
      <alignment vertical="center"/>
    </xf>
    <xf numFmtId="0" fontId="0" fillId="6" borderId="0" xfId="0" applyFill="1">
      <alignment vertical="center"/>
    </xf>
    <xf numFmtId="10" fontId="0" fillId="6" borderId="0" xfId="0" applyNumberFormat="1" applyFill="1">
      <alignment vertical="center"/>
    </xf>
    <xf numFmtId="0" fontId="14" fillId="0" borderId="1" xfId="0" applyFont="1" applyBorder="1">
      <alignment vertical="center"/>
    </xf>
    <xf numFmtId="0" fontId="9" fillId="0" borderId="0" xfId="0" applyFont="1">
      <alignment vertical="center"/>
    </xf>
    <xf numFmtId="0" fontId="12" fillId="0" borderId="0" xfId="0" applyFont="1">
      <alignment vertical="center"/>
    </xf>
    <xf numFmtId="0" fontId="15" fillId="0" borderId="0" xfId="1" applyFont="1">
      <alignment vertical="center"/>
    </xf>
    <xf numFmtId="0" fontId="0" fillId="4" borderId="0" xfId="0" applyFill="1" applyAlignment="1">
      <alignment horizontal="center" vertical="center"/>
    </xf>
    <xf numFmtId="0" fontId="8" fillId="4" borderId="0" xfId="0" applyFont="1" applyFill="1" applyAlignment="1">
      <alignment horizontal="center" vertical="center"/>
    </xf>
    <xf numFmtId="0" fontId="15" fillId="0" borderId="0" xfId="1" applyFont="1" applyFill="1">
      <alignment vertical="center"/>
    </xf>
    <xf numFmtId="0" fontId="8" fillId="0" borderId="0" xfId="0" applyFont="1" applyAlignment="1">
      <alignment horizontal="center" vertical="center"/>
    </xf>
    <xf numFmtId="0" fontId="16" fillId="2" borderId="0" xfId="0" applyFont="1" applyFill="1" applyAlignment="1">
      <alignment horizontal="center" vertical="center"/>
    </xf>
    <xf numFmtId="0" fontId="16" fillId="7" borderId="0" xfId="0" applyFont="1" applyFill="1">
      <alignment vertical="center"/>
    </xf>
    <xf numFmtId="0" fontId="17" fillId="0" borderId="0" xfId="0" applyFont="1">
      <alignment vertical="center"/>
    </xf>
    <xf numFmtId="0" fontId="7" fillId="2" borderId="0" xfId="0" applyFont="1" applyFill="1" applyAlignment="1">
      <alignment horizontal="center" vertical="center"/>
    </xf>
    <xf numFmtId="0" fontId="0" fillId="2" borderId="0" xfId="0" applyFill="1" applyAlignment="1">
      <alignment horizontal="center" vertical="center"/>
    </xf>
    <xf numFmtId="0" fontId="24" fillId="0" borderId="0" xfId="0" applyFont="1">
      <alignment vertical="center"/>
    </xf>
    <xf numFmtId="0" fontId="0" fillId="0" borderId="0" xfId="0" applyAlignment="1">
      <alignment vertical="center" wrapText="1"/>
    </xf>
    <xf numFmtId="9" fontId="0" fillId="6" borderId="0" xfId="2" applyFont="1" applyFill="1">
      <alignment vertical="center"/>
    </xf>
    <xf numFmtId="0" fontId="9" fillId="2" borderId="0" xfId="0" applyFont="1" applyFill="1" applyAlignment="1">
      <alignment horizontal="center" vertical="center"/>
    </xf>
    <xf numFmtId="0" fontId="7" fillId="2" borderId="0" xfId="0" applyFont="1" applyFill="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xf>
  </cellXfs>
  <cellStyles count="3">
    <cellStyle name="一般" xfId="0" builtinId="0"/>
    <cellStyle name="一般 2" xfId="1"/>
    <cellStyle name="百分比"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495300</xdr:colOff>
      <xdr:row>5</xdr:row>
      <xdr:rowOff>129541</xdr:rowOff>
    </xdr:from>
    <xdr:to>
      <xdr:col>0</xdr:col>
      <xdr:colOff>5928360</xdr:colOff>
      <xdr:row>8</xdr:row>
      <xdr:rowOff>45721</xdr:rowOff>
    </xdr:to>
    <xdr:pic>
      <xdr:nvPicPr>
        <xdr:cNvPr id="6" name="圖片 5"/>
        <xdr:cNvPicPr>
          <a:picLocks noChangeAspect="1"/>
        </xdr:cNvPicPr>
      </xdr:nvPicPr>
      <xdr:blipFill rotWithShape="1">
        <a:blip xmlns:r="http://schemas.openxmlformats.org/officeDocument/2006/relationships" r:embed="rId1"/>
        <a:srcRect b="50257"/>
        <a:stretch/>
      </xdr:blipFill>
      <xdr:spPr>
        <a:xfrm>
          <a:off x="495300" y="1158241"/>
          <a:ext cx="5433060" cy="533400"/>
        </a:xfrm>
        <a:prstGeom prst="rect">
          <a:avLst/>
        </a:prstGeom>
      </xdr:spPr>
    </xdr:pic>
    <xdr:clientData/>
  </xdr:twoCellAnchor>
  <xdr:twoCellAnchor editAs="oneCell">
    <xdr:from>
      <xdr:col>0</xdr:col>
      <xdr:colOff>525780</xdr:colOff>
      <xdr:row>9</xdr:row>
      <xdr:rowOff>7620</xdr:rowOff>
    </xdr:from>
    <xdr:to>
      <xdr:col>0</xdr:col>
      <xdr:colOff>5567646</xdr:colOff>
      <xdr:row>12</xdr:row>
      <xdr:rowOff>121920</xdr:rowOff>
    </xdr:to>
    <xdr:pic>
      <xdr:nvPicPr>
        <xdr:cNvPr id="7" name="圖片 6"/>
        <xdr:cNvPicPr>
          <a:picLocks noChangeAspect="1"/>
        </xdr:cNvPicPr>
      </xdr:nvPicPr>
      <xdr:blipFill>
        <a:blip xmlns:r="http://schemas.openxmlformats.org/officeDocument/2006/relationships" r:embed="rId2"/>
        <a:stretch>
          <a:fillRect/>
        </a:stretch>
      </xdr:blipFill>
      <xdr:spPr>
        <a:xfrm>
          <a:off x="525780" y="1859280"/>
          <a:ext cx="5041866" cy="716280"/>
        </a:xfrm>
        <a:prstGeom prst="rect">
          <a:avLst/>
        </a:prstGeom>
      </xdr:spPr>
    </xdr:pic>
    <xdr:clientData/>
  </xdr:twoCellAnchor>
  <xdr:twoCellAnchor editAs="oneCell">
    <xdr:from>
      <xdr:col>0</xdr:col>
      <xdr:colOff>9855200</xdr:colOff>
      <xdr:row>19</xdr:row>
      <xdr:rowOff>38101</xdr:rowOff>
    </xdr:from>
    <xdr:to>
      <xdr:col>3</xdr:col>
      <xdr:colOff>543831</xdr:colOff>
      <xdr:row>45</xdr:row>
      <xdr:rowOff>177801</xdr:rowOff>
    </xdr:to>
    <xdr:pic>
      <xdr:nvPicPr>
        <xdr:cNvPr id="21" name="圖片 20"/>
        <xdr:cNvPicPr>
          <a:picLocks noChangeAspect="1"/>
        </xdr:cNvPicPr>
      </xdr:nvPicPr>
      <xdr:blipFill>
        <a:blip xmlns:r="http://schemas.openxmlformats.org/officeDocument/2006/relationships" r:embed="rId3"/>
        <a:stretch>
          <a:fillRect/>
        </a:stretch>
      </xdr:blipFill>
      <xdr:spPr>
        <a:xfrm>
          <a:off x="9855200" y="4025901"/>
          <a:ext cx="3655331" cy="5422900"/>
        </a:xfrm>
        <a:prstGeom prst="rect">
          <a:avLst/>
        </a:prstGeom>
      </xdr:spPr>
    </xdr:pic>
    <xdr:clientData/>
  </xdr:twoCellAnchor>
  <xdr:twoCellAnchor editAs="oneCell">
    <xdr:from>
      <xdr:col>0</xdr:col>
      <xdr:colOff>279399</xdr:colOff>
      <xdr:row>19</xdr:row>
      <xdr:rowOff>38100</xdr:rowOff>
    </xdr:from>
    <xdr:to>
      <xdr:col>0</xdr:col>
      <xdr:colOff>9665656</xdr:colOff>
      <xdr:row>44</xdr:row>
      <xdr:rowOff>0</xdr:rowOff>
    </xdr:to>
    <xdr:pic>
      <xdr:nvPicPr>
        <xdr:cNvPr id="23" name="圖片 22"/>
        <xdr:cNvPicPr>
          <a:picLocks noChangeAspect="1"/>
        </xdr:cNvPicPr>
      </xdr:nvPicPr>
      <xdr:blipFill>
        <a:blip xmlns:r="http://schemas.openxmlformats.org/officeDocument/2006/relationships" r:embed="rId4"/>
        <a:stretch>
          <a:fillRect/>
        </a:stretch>
      </xdr:blipFill>
      <xdr:spPr>
        <a:xfrm>
          <a:off x="279399" y="4025900"/>
          <a:ext cx="9386257" cy="5041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11</xdr:col>
      <xdr:colOff>456025</xdr:colOff>
      <xdr:row>26</xdr:row>
      <xdr:rowOff>30481</xdr:rowOff>
    </xdr:to>
    <xdr:pic>
      <xdr:nvPicPr>
        <xdr:cNvPr id="2" name="圖片 1"/>
        <xdr:cNvPicPr>
          <a:picLocks noChangeAspect="1"/>
        </xdr:cNvPicPr>
      </xdr:nvPicPr>
      <xdr:blipFill>
        <a:blip xmlns:r="http://schemas.openxmlformats.org/officeDocument/2006/relationships" r:embed="rId1"/>
        <a:stretch>
          <a:fillRect/>
        </a:stretch>
      </xdr:blipFill>
      <xdr:spPr>
        <a:xfrm>
          <a:off x="0" y="1"/>
          <a:ext cx="7161625" cy="5379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12</xdr:col>
      <xdr:colOff>323191</xdr:colOff>
      <xdr:row>27</xdr:row>
      <xdr:rowOff>182880</xdr:rowOff>
    </xdr:to>
    <xdr:pic>
      <xdr:nvPicPr>
        <xdr:cNvPr id="2" name="圖片 1"/>
        <xdr:cNvPicPr>
          <a:picLocks noChangeAspect="1"/>
        </xdr:cNvPicPr>
      </xdr:nvPicPr>
      <xdr:blipFill>
        <a:blip xmlns:r="http://schemas.openxmlformats.org/officeDocument/2006/relationships" r:embed="rId1"/>
        <a:stretch>
          <a:fillRect/>
        </a:stretch>
      </xdr:blipFill>
      <xdr:spPr>
        <a:xfrm>
          <a:off x="1" y="0"/>
          <a:ext cx="7638390" cy="5737860"/>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D28"/>
  <sheetViews>
    <sheetView zoomScale="70" zoomScaleNormal="70" workbookViewId="0">
      <selection activeCell="T6" sqref="T6"/>
    </sheetView>
  </sheetViews>
  <sheetFormatPr defaultRowHeight="16.2"/>
  <cols>
    <col min="5" max="5" width="8.77734375" style="12"/>
    <col min="6" max="6" width="9.6640625" bestFit="1" customWidth="1"/>
    <col min="8" max="8" width="5" customWidth="1"/>
    <col min="12" max="12" width="8.77734375" style="4"/>
    <col min="13" max="13" width="5.109375" customWidth="1"/>
    <col min="14" max="14" width="5.21875" customWidth="1"/>
    <col min="15" max="15" width="5.109375" customWidth="1"/>
    <col min="16" max="16" width="5.77734375" customWidth="1"/>
    <col min="17" max="17" width="3.88671875" customWidth="1"/>
    <col min="18" max="18" width="13.44140625" customWidth="1"/>
    <col min="19" max="19" width="11.21875" customWidth="1"/>
    <col min="20" max="20" width="12.21875" customWidth="1"/>
    <col min="21" max="21" width="14.77734375" customWidth="1"/>
    <col min="22" max="22" width="3.88671875" customWidth="1"/>
    <col min="25" max="25" width="3.77734375" customWidth="1"/>
    <col min="26" max="26" width="13.21875" customWidth="1"/>
    <col min="27" max="27" width="4.109375" customWidth="1"/>
    <col min="28" max="28" width="7.44140625" customWidth="1"/>
    <col min="29" max="29" width="3.88671875" customWidth="1"/>
    <col min="30" max="30" width="16.88671875" customWidth="1"/>
  </cols>
  <sheetData>
    <row r="1" spans="1:30" s="2" customFormat="1">
      <c r="A1" s="35" t="s">
        <v>1</v>
      </c>
      <c r="B1" s="34"/>
      <c r="C1" s="34"/>
      <c r="D1" s="28"/>
      <c r="E1" s="34" t="s">
        <v>2</v>
      </c>
      <c r="F1" s="34"/>
      <c r="G1" s="34"/>
      <c r="I1" s="34" t="s">
        <v>3</v>
      </c>
      <c r="J1" s="36"/>
      <c r="K1" s="29"/>
      <c r="L1" s="24"/>
      <c r="M1" s="33" t="s">
        <v>4</v>
      </c>
      <c r="N1" s="34"/>
      <c r="O1" s="34"/>
      <c r="P1" s="34"/>
      <c r="R1" s="35" t="s">
        <v>5</v>
      </c>
      <c r="S1" s="34"/>
      <c r="T1" s="34"/>
      <c r="U1" s="34"/>
      <c r="W1" s="33" t="s">
        <v>6</v>
      </c>
      <c r="X1" s="34"/>
      <c r="Z1" s="5" t="s">
        <v>7</v>
      </c>
      <c r="AB1" s="5" t="s">
        <v>8</v>
      </c>
      <c r="AD1" s="25" t="s">
        <v>9</v>
      </c>
    </row>
    <row r="2" spans="1:30" s="6" customFormat="1" ht="20.399999999999999" thickBot="1">
      <c r="A2" s="6" t="s">
        <v>0</v>
      </c>
      <c r="B2" s="6" t="s">
        <v>11</v>
      </c>
      <c r="C2" s="7" t="s">
        <v>12</v>
      </c>
      <c r="D2" s="7"/>
      <c r="E2" s="8"/>
      <c r="F2" s="6" t="s">
        <v>13</v>
      </c>
      <c r="G2" s="6" t="s">
        <v>14</v>
      </c>
      <c r="I2" s="6" t="s">
        <v>15</v>
      </c>
      <c r="J2" s="6" t="s">
        <v>14</v>
      </c>
      <c r="L2" s="8"/>
      <c r="M2" s="9" t="s">
        <v>16</v>
      </c>
      <c r="N2" s="9" t="s">
        <v>17</v>
      </c>
      <c r="O2" s="9" t="s">
        <v>18</v>
      </c>
      <c r="P2" s="9" t="s">
        <v>19</v>
      </c>
      <c r="R2" s="10" t="s">
        <v>37</v>
      </c>
      <c r="S2" s="10" t="s">
        <v>44</v>
      </c>
      <c r="T2" s="10" t="s">
        <v>43</v>
      </c>
      <c r="U2" s="10" t="s">
        <v>42</v>
      </c>
      <c r="Z2" s="7" t="s">
        <v>33</v>
      </c>
    </row>
    <row r="3" spans="1:30" ht="20.399999999999999" thickBot="1">
      <c r="A3" s="11">
        <v>48</v>
      </c>
      <c r="B3" s="11">
        <v>8</v>
      </c>
      <c r="C3" s="11">
        <v>1</v>
      </c>
      <c r="D3" s="11"/>
      <c r="E3" s="12" t="s">
        <v>20</v>
      </c>
      <c r="F3" s="13">
        <f>AVERAGE(A3:A14)</f>
        <v>41.833333333333336</v>
      </c>
      <c r="G3" s="13">
        <f>AVERAGE(B3:B14)</f>
        <v>7</v>
      </c>
      <c r="I3" s="1">
        <f>(A3-$F$3)/$F$4</f>
        <v>0.3156769282447161</v>
      </c>
      <c r="J3" s="1">
        <f>(B3-$G$3)/$G$4</f>
        <v>0.2472066162365221</v>
      </c>
      <c r="K3" s="1"/>
      <c r="M3" s="11">
        <v>-2.2000000000000002</v>
      </c>
      <c r="N3" s="11">
        <v>2.2999999999999998</v>
      </c>
      <c r="O3" s="11">
        <v>5.0999999999999996</v>
      </c>
      <c r="P3" s="11">
        <v>2.2999999999999998</v>
      </c>
      <c r="R3" s="1">
        <f>1/(1+EXP(-(MMULT(I3:J3,$M$3:$M$4)-$M$6)))</f>
        <v>0.33801733871732093</v>
      </c>
      <c r="S3" s="1">
        <f>1/(1+EXP(-(MMULT(I3:J3,$N$3:$N$4)-$N$6)))</f>
        <v>0.96949065944001145</v>
      </c>
      <c r="T3" s="1">
        <f>1/(1+EXP(-(MMULT(I3:J3,$O$3:$O$4)-$O$6)))</f>
        <v>0.10270151371309641</v>
      </c>
      <c r="U3" s="1">
        <f>1/(1+EXP(-(MMULT(I3:J3,$P$3:$P$4)-$P$6)))</f>
        <v>0.37575571062065521</v>
      </c>
      <c r="W3" s="14" t="s">
        <v>45</v>
      </c>
      <c r="X3" s="11">
        <v>-5</v>
      </c>
      <c r="Z3" s="15">
        <f>1/(1+EXP(-(MMULT(R3:U3,$X$3:$X$6)-$X$8)))</f>
        <v>0.84134422852811264</v>
      </c>
      <c r="AB3" s="15">
        <f t="shared" ref="AB3:AB14" si="0">IF(OR(AND(C3=1,Z3&lt;0.5),AND(C3=0,Z3&gt;=0.5)),1,0)</f>
        <v>0</v>
      </c>
      <c r="AD3" s="16">
        <f>AVERAGE(AB3:AB12)</f>
        <v>0</v>
      </c>
    </row>
    <row r="4" spans="1:30" ht="20.399999999999999" thickBot="1">
      <c r="A4" s="11">
        <v>46</v>
      </c>
      <c r="B4" s="11">
        <v>6</v>
      </c>
      <c r="C4" s="11">
        <v>0</v>
      </c>
      <c r="D4" s="11"/>
      <c r="E4" s="12" t="s">
        <v>22</v>
      </c>
      <c r="F4" s="13">
        <f>STDEV(A3:A14)</f>
        <v>19.534739839733231</v>
      </c>
      <c r="G4" s="13">
        <f>STDEV(B3:B14)</f>
        <v>4.0451991747794525</v>
      </c>
      <c r="I4" s="1">
        <f t="shared" ref="I4:I14" si="1">(A4-$F$3)/$F$4</f>
        <v>0.2132952217869703</v>
      </c>
      <c r="J4" s="1">
        <f t="shared" ref="J4:J14" si="2">(B4-$G$3)/$G$4</f>
        <v>-0.2472066162365221</v>
      </c>
      <c r="K4" s="1"/>
      <c r="M4" s="11">
        <v>-8</v>
      </c>
      <c r="N4" s="11">
        <v>6.2</v>
      </c>
      <c r="O4" s="11">
        <v>0.9</v>
      </c>
      <c r="P4" s="11">
        <v>3.1</v>
      </c>
      <c r="R4" s="1">
        <f t="shared" ref="R4:R14" si="3">1/(1+EXP(-(MMULT(I4:J4,$M$3:$M$4)-$M$6)))</f>
        <v>0.97092592916479958</v>
      </c>
      <c r="S4" s="1">
        <f t="shared" ref="S4:S14" si="4">1/(1+EXP(-(MMULT(I4:J4,$N$3:$N$4)-$N$6)))</f>
        <v>0.5393926872146283</v>
      </c>
      <c r="T4" s="1">
        <f t="shared" ref="T4:T14" si="5">1/(1+EXP(-(MMULT(I4:J4,$O$3:$O$4)-$O$6)))</f>
        <v>4.1699177969579844E-2</v>
      </c>
      <c r="U4" s="1">
        <f t="shared" ref="U4:U14" si="6">1/(1+EXP(-(MMULT(I4:J4,$P$3:$P$4)-$P$6)))</f>
        <v>9.3150376648620165E-2</v>
      </c>
      <c r="W4" s="17" t="s">
        <v>46</v>
      </c>
      <c r="X4" s="11">
        <v>5</v>
      </c>
      <c r="Z4" s="15">
        <f t="shared" ref="Z4:Z14" si="7">1/(1+EXP(-(MMULT(R4:U4,$X$3:$X$6)-$X$8)))</f>
        <v>2.6756384416496137E-2</v>
      </c>
      <c r="AB4" s="15">
        <f t="shared" si="0"/>
        <v>0</v>
      </c>
    </row>
    <row r="5" spans="1:30" ht="20.399999999999999" thickBot="1">
      <c r="A5" s="11">
        <v>65</v>
      </c>
      <c r="B5" s="11">
        <v>17</v>
      </c>
      <c r="C5" s="11">
        <v>0</v>
      </c>
      <c r="D5" s="11"/>
      <c r="I5" s="1">
        <f t="shared" si="1"/>
        <v>1.1859214331355554</v>
      </c>
      <c r="J5" s="1">
        <f t="shared" si="2"/>
        <v>2.4720661623652211</v>
      </c>
      <c r="K5" s="1"/>
      <c r="M5" s="18"/>
      <c r="N5" s="18"/>
      <c r="O5" s="18"/>
      <c r="P5" s="18"/>
      <c r="R5" s="1">
        <f t="shared" si="3"/>
        <v>1.4017330777598855E-9</v>
      </c>
      <c r="S5" s="1">
        <f t="shared" si="4"/>
        <v>0.99999999565582298</v>
      </c>
      <c r="T5" s="1">
        <f t="shared" si="5"/>
        <v>0.9862525466074058</v>
      </c>
      <c r="U5" s="1">
        <f t="shared" si="6"/>
        <v>0.9997731567411291</v>
      </c>
      <c r="W5" s="17" t="s">
        <v>47</v>
      </c>
      <c r="X5" s="11">
        <v>-5.5</v>
      </c>
      <c r="Z5" s="15">
        <f t="shared" si="7"/>
        <v>0.32637734604937646</v>
      </c>
      <c r="AB5" s="15">
        <f t="shared" si="0"/>
        <v>0</v>
      </c>
    </row>
    <row r="6" spans="1:30" ht="20.399999999999999" thickBot="1">
      <c r="A6" s="11">
        <v>18</v>
      </c>
      <c r="B6" s="11">
        <v>5</v>
      </c>
      <c r="C6" s="11">
        <v>0</v>
      </c>
      <c r="D6" s="11"/>
      <c r="I6" s="1">
        <f t="shared" si="1"/>
        <v>-1.2200486686214711</v>
      </c>
      <c r="J6" s="1">
        <f t="shared" si="2"/>
        <v>-0.4944132324730442</v>
      </c>
      <c r="K6" s="1"/>
      <c r="L6" s="14" t="s">
        <v>23</v>
      </c>
      <c r="M6" s="11">
        <v>-2</v>
      </c>
      <c r="N6" s="11">
        <v>-1.2</v>
      </c>
      <c r="O6" s="11">
        <v>4</v>
      </c>
      <c r="P6" s="11">
        <v>2</v>
      </c>
      <c r="R6" s="1">
        <f t="shared" si="3"/>
        <v>0.99982304054260074</v>
      </c>
      <c r="S6" s="1">
        <f t="shared" si="4"/>
        <v>9.2716963260210204E-3</v>
      </c>
      <c r="T6" s="1">
        <f t="shared" si="5"/>
        <v>2.3295661530725299E-5</v>
      </c>
      <c r="U6" s="1">
        <f t="shared" si="6"/>
        <v>1.7633183247568454E-3</v>
      </c>
      <c r="W6" s="17" t="s">
        <v>48</v>
      </c>
      <c r="X6" s="11">
        <v>1</v>
      </c>
      <c r="Z6" s="15">
        <f t="shared" si="7"/>
        <v>1.9245791424930714E-3</v>
      </c>
      <c r="AB6" s="15">
        <f t="shared" si="0"/>
        <v>0</v>
      </c>
    </row>
    <row r="7" spans="1:30" ht="16.8" thickBot="1">
      <c r="A7" s="11">
        <v>22</v>
      </c>
      <c r="B7" s="11">
        <v>3</v>
      </c>
      <c r="C7" s="11">
        <v>0</v>
      </c>
      <c r="D7" s="11"/>
      <c r="I7" s="1">
        <f t="shared" si="1"/>
        <v>-1.0152852557059793</v>
      </c>
      <c r="J7" s="1">
        <f t="shared" si="2"/>
        <v>-0.98882646494608839</v>
      </c>
      <c r="K7" s="1"/>
      <c r="R7" s="1">
        <f t="shared" si="3"/>
        <v>0.99999468110296863</v>
      </c>
      <c r="S7" s="1">
        <f t="shared" si="4"/>
        <v>6.9849753212183918E-4</v>
      </c>
      <c r="T7" s="1">
        <f t="shared" si="5"/>
        <v>4.2417860707948324E-5</v>
      </c>
      <c r="U7" s="1">
        <f t="shared" si="6"/>
        <v>6.1056312002951926E-4</v>
      </c>
      <c r="W7" s="12"/>
      <c r="X7" s="18"/>
      <c r="Z7" s="15">
        <f t="shared" si="7"/>
        <v>1.8400814731221664E-3</v>
      </c>
      <c r="AB7" s="15">
        <f t="shared" si="0"/>
        <v>0</v>
      </c>
    </row>
    <row r="8" spans="1:30" ht="16.8" thickBot="1">
      <c r="A8" s="11">
        <v>18</v>
      </c>
      <c r="B8" s="11">
        <v>3</v>
      </c>
      <c r="C8" s="11">
        <v>0</v>
      </c>
      <c r="D8" s="11"/>
      <c r="I8" s="1">
        <f t="shared" si="1"/>
        <v>-1.2200486686214711</v>
      </c>
      <c r="J8" s="1">
        <f t="shared" si="2"/>
        <v>-0.98882646494608839</v>
      </c>
      <c r="K8" s="1"/>
      <c r="R8" s="1">
        <f t="shared" si="3"/>
        <v>0.99999661014083052</v>
      </c>
      <c r="S8" s="1">
        <f t="shared" si="4"/>
        <v>4.3625990685118446E-4</v>
      </c>
      <c r="T8" s="1">
        <f t="shared" si="5"/>
        <v>1.4928969699993531E-5</v>
      </c>
      <c r="U8" s="1">
        <f t="shared" si="6"/>
        <v>3.8132620117240965E-4</v>
      </c>
      <c r="W8" s="17" t="s">
        <v>23</v>
      </c>
      <c r="X8" s="11">
        <v>1.3</v>
      </c>
      <c r="Z8" s="15">
        <f t="shared" si="7"/>
        <v>1.8375139436127696E-3</v>
      </c>
      <c r="AB8" s="15">
        <f t="shared" si="0"/>
        <v>0</v>
      </c>
      <c r="AD8" s="26" t="s">
        <v>32</v>
      </c>
    </row>
    <row r="9" spans="1:30">
      <c r="A9" s="11">
        <v>71</v>
      </c>
      <c r="B9" s="11">
        <v>2</v>
      </c>
      <c r="C9" s="11">
        <v>0</v>
      </c>
      <c r="D9" s="11"/>
      <c r="I9" s="1">
        <f t="shared" si="1"/>
        <v>1.4930665525087929</v>
      </c>
      <c r="J9" s="1">
        <f t="shared" si="2"/>
        <v>-1.2360330811826106</v>
      </c>
      <c r="K9" s="1"/>
      <c r="R9" s="1">
        <f t="shared" si="3"/>
        <v>0.99981657444659766</v>
      </c>
      <c r="S9" s="1">
        <f t="shared" si="4"/>
        <v>4.6117323077247641E-2</v>
      </c>
      <c r="T9" s="1">
        <f t="shared" si="5"/>
        <v>0.92429657918289054</v>
      </c>
      <c r="U9" s="1">
        <f t="shared" si="6"/>
        <v>8.3352111026654158E-2</v>
      </c>
      <c r="Z9" s="15">
        <f t="shared" si="7"/>
        <v>1.5591402415449932E-5</v>
      </c>
      <c r="AB9" s="15">
        <f t="shared" si="0"/>
        <v>0</v>
      </c>
      <c r="AD9" s="6"/>
    </row>
    <row r="10" spans="1:30">
      <c r="A10" s="11">
        <v>46</v>
      </c>
      <c r="B10" s="11">
        <v>9</v>
      </c>
      <c r="C10" s="11">
        <v>1</v>
      </c>
      <c r="D10" s="11"/>
      <c r="I10" s="1">
        <f t="shared" si="1"/>
        <v>0.2132952217869703</v>
      </c>
      <c r="J10" s="1">
        <f t="shared" si="2"/>
        <v>0.4944132324730442</v>
      </c>
      <c r="K10" s="1"/>
      <c r="R10" s="1">
        <f t="shared" si="3"/>
        <v>8.1319291830136101E-2</v>
      </c>
      <c r="S10" s="1">
        <f t="shared" si="4"/>
        <v>0.99147288954467516</v>
      </c>
      <c r="T10" s="1">
        <f t="shared" si="5"/>
        <v>7.8188191391416015E-2</v>
      </c>
      <c r="U10" s="1">
        <f t="shared" si="6"/>
        <v>0.50581474553430228</v>
      </c>
      <c r="Z10" s="15">
        <f t="shared" si="7"/>
        <v>0.96532840787094321</v>
      </c>
      <c r="AB10" s="15">
        <f t="shared" si="0"/>
        <v>0</v>
      </c>
      <c r="AD10" s="15">
        <f>SUMXMY2(C3:C14, Z3:Z14)</f>
        <v>0.55620087700480536</v>
      </c>
    </row>
    <row r="11" spans="1:30">
      <c r="A11" s="11">
        <v>58</v>
      </c>
      <c r="B11" s="11">
        <v>9</v>
      </c>
      <c r="C11" s="11">
        <v>1</v>
      </c>
      <c r="D11" s="11"/>
      <c r="I11" s="1">
        <f t="shared" si="1"/>
        <v>0.82758546053344517</v>
      </c>
      <c r="J11" s="1">
        <f t="shared" si="2"/>
        <v>0.4944132324730442</v>
      </c>
      <c r="K11" s="1"/>
      <c r="R11" s="1">
        <f t="shared" si="3"/>
        <v>2.2401002010870544E-2</v>
      </c>
      <c r="S11" s="1">
        <f t="shared" si="4"/>
        <v>0.99791064555925824</v>
      </c>
      <c r="T11" s="1">
        <f t="shared" si="5"/>
        <v>0.66053017775401845</v>
      </c>
      <c r="U11" s="1">
        <f t="shared" si="6"/>
        <v>0.80785426861717058</v>
      </c>
      <c r="Z11" s="15">
        <f t="shared" si="7"/>
        <v>0.6797202554174343</v>
      </c>
      <c r="AB11" s="15">
        <f t="shared" si="0"/>
        <v>0</v>
      </c>
    </row>
    <row r="12" spans="1:30">
      <c r="A12" s="11">
        <v>20</v>
      </c>
      <c r="B12" s="11">
        <v>5</v>
      </c>
      <c r="C12" s="11">
        <v>0</v>
      </c>
      <c r="D12" s="11"/>
      <c r="I12" s="1">
        <f t="shared" si="1"/>
        <v>-1.1176669621637252</v>
      </c>
      <c r="J12" s="1">
        <f t="shared" si="2"/>
        <v>-0.4944132324730442</v>
      </c>
      <c r="K12" s="1"/>
      <c r="R12" s="1">
        <f t="shared" si="3"/>
        <v>0.99977834642207863</v>
      </c>
      <c r="S12" s="1">
        <f t="shared" si="4"/>
        <v>1.1704642333751437E-2</v>
      </c>
      <c r="T12" s="1">
        <f t="shared" si="5"/>
        <v>3.9267526257056672E-5</v>
      </c>
      <c r="U12" s="1">
        <f t="shared" si="6"/>
        <v>2.2304587802824609E-3</v>
      </c>
      <c r="Z12" s="15">
        <f t="shared" si="7"/>
        <v>1.9492605258073965E-3</v>
      </c>
      <c r="AB12" s="15">
        <f t="shared" si="0"/>
        <v>0</v>
      </c>
    </row>
    <row r="13" spans="1:30">
      <c r="A13" s="11">
        <v>30</v>
      </c>
      <c r="B13" s="11">
        <v>9</v>
      </c>
      <c r="C13" s="11">
        <v>1</v>
      </c>
      <c r="D13" s="11"/>
      <c r="I13" s="1">
        <f t="shared" si="1"/>
        <v>-0.60575842987499617</v>
      </c>
      <c r="J13" s="1">
        <f t="shared" si="2"/>
        <v>0.4944132324730442</v>
      </c>
      <c r="K13" s="1"/>
      <c r="R13" s="1">
        <f t="shared" si="3"/>
        <v>0.34918187340244827</v>
      </c>
      <c r="S13" s="1">
        <f t="shared" si="4"/>
        <v>0.94645077576288561</v>
      </c>
      <c r="T13" s="1">
        <f t="shared" si="5"/>
        <v>1.2996028889197351E-3</v>
      </c>
      <c r="U13" s="1">
        <f t="shared" si="6"/>
        <v>0.1346374003332054</v>
      </c>
      <c r="Z13" s="15">
        <f t="shared" si="7"/>
        <v>0.85982462131748338</v>
      </c>
      <c r="AB13" s="15">
        <f t="shared" si="0"/>
        <v>0</v>
      </c>
    </row>
    <row r="14" spans="1:30">
      <c r="A14" s="11">
        <v>60</v>
      </c>
      <c r="B14" s="11">
        <v>8</v>
      </c>
      <c r="C14" s="11">
        <v>1</v>
      </c>
      <c r="D14" s="11"/>
      <c r="I14" s="1">
        <f t="shared" si="1"/>
        <v>0.92996716699119097</v>
      </c>
      <c r="J14" s="1">
        <f t="shared" si="2"/>
        <v>0.2472066162365221</v>
      </c>
      <c r="K14" s="1"/>
      <c r="R14" s="1">
        <f t="shared" si="3"/>
        <v>0.1167492464483085</v>
      </c>
      <c r="S14" s="1">
        <f t="shared" si="4"/>
        <v>0.99239719000189119</v>
      </c>
      <c r="T14" s="1">
        <f t="shared" si="5"/>
        <v>0.72418539404477789</v>
      </c>
      <c r="U14" s="1">
        <f t="shared" si="6"/>
        <v>0.71203025775998574</v>
      </c>
      <c r="Z14" s="15">
        <f t="shared" si="7"/>
        <v>0.45196121491186597</v>
      </c>
      <c r="AB14" s="15">
        <f t="shared" si="0"/>
        <v>1</v>
      </c>
    </row>
    <row r="15" spans="1:30" s="21" customFormat="1">
      <c r="A15" s="35" t="s">
        <v>1</v>
      </c>
      <c r="B15" s="34"/>
      <c r="C15" s="34"/>
      <c r="D15" s="28"/>
      <c r="E15" s="34" t="s">
        <v>2</v>
      </c>
      <c r="F15" s="34"/>
      <c r="G15" s="34"/>
      <c r="I15" s="34" t="s">
        <v>24</v>
      </c>
      <c r="J15" s="36"/>
      <c r="K15" s="29"/>
      <c r="L15" s="22"/>
      <c r="M15" s="33" t="s">
        <v>25</v>
      </c>
      <c r="N15" s="34"/>
      <c r="O15" s="34"/>
      <c r="P15" s="34"/>
      <c r="R15" s="35" t="s">
        <v>26</v>
      </c>
      <c r="S15" s="34"/>
      <c r="T15" s="34"/>
      <c r="U15" s="34"/>
      <c r="W15" s="33" t="s">
        <v>6</v>
      </c>
      <c r="X15" s="34"/>
      <c r="Z15" s="5" t="s">
        <v>27</v>
      </c>
      <c r="AB15" s="5" t="s">
        <v>8</v>
      </c>
      <c r="AD15" s="25" t="s">
        <v>28</v>
      </c>
    </row>
    <row r="16" spans="1:30" s="19" customFormat="1" ht="20.399999999999999" thickBot="1">
      <c r="A16" s="6" t="s">
        <v>0</v>
      </c>
      <c r="B16" s="6" t="s">
        <v>10</v>
      </c>
      <c r="C16" s="7" t="s">
        <v>12</v>
      </c>
      <c r="D16" s="7"/>
      <c r="E16" s="12"/>
      <c r="F16" s="6" t="s">
        <v>13</v>
      </c>
      <c r="G16" s="6" t="s">
        <v>14</v>
      </c>
      <c r="I16" s="6" t="s">
        <v>29</v>
      </c>
      <c r="J16" s="6" t="s">
        <v>10</v>
      </c>
      <c r="K16" s="6"/>
      <c r="L16" s="12"/>
      <c r="M16" s="9" t="s">
        <v>16</v>
      </c>
      <c r="N16" s="9" t="s">
        <v>17</v>
      </c>
      <c r="O16" s="9" t="s">
        <v>18</v>
      </c>
      <c r="P16" s="9" t="s">
        <v>19</v>
      </c>
      <c r="R16" s="10" t="s">
        <v>38</v>
      </c>
      <c r="S16" s="10" t="s">
        <v>39</v>
      </c>
      <c r="T16" s="10" t="s">
        <v>40</v>
      </c>
      <c r="U16" s="10" t="s">
        <v>41</v>
      </c>
      <c r="Z16" s="7" t="s">
        <v>31</v>
      </c>
    </row>
    <row r="17" spans="1:30" ht="20.399999999999999" thickBot="1">
      <c r="A17" s="3">
        <v>40</v>
      </c>
      <c r="B17" s="3">
        <v>15</v>
      </c>
      <c r="C17" s="20">
        <v>1</v>
      </c>
      <c r="D17" s="20"/>
      <c r="E17" s="12" t="s">
        <v>20</v>
      </c>
      <c r="F17" s="13">
        <f>AVERAGE(A17:A28)</f>
        <v>43.25</v>
      </c>
      <c r="G17" s="13">
        <f>AVERAGE(B17:B28)</f>
        <v>10.166666666666666</v>
      </c>
      <c r="I17" s="13">
        <f>(A17-$F$17)/$F$18</f>
        <v>-0.19198591893272582</v>
      </c>
      <c r="J17" s="13">
        <f>(B17-$G$17)/$G$18</f>
        <v>0.9260274735235613</v>
      </c>
      <c r="K17" s="13"/>
      <c r="M17" s="11">
        <v>9</v>
      </c>
      <c r="N17" s="11">
        <v>2.2999999999999998</v>
      </c>
      <c r="O17" s="11">
        <v>5.0999999999999996</v>
      </c>
      <c r="P17" s="11">
        <v>2.2999999999999998</v>
      </c>
      <c r="R17" s="1">
        <f>1/(1+EXP(-(MMULT(I17:J17,$M$17:$M$18)-$M$20)))</f>
        <v>7.9522250859224161E-4</v>
      </c>
      <c r="S17" s="1">
        <f>1/(1+EXP(-(MMULT(I17:J17,$N$17:$N$18)-$N$20)))</f>
        <v>0.99849852200897393</v>
      </c>
      <c r="T17" s="1">
        <f>1/(1+EXP(-(MMULT(I17:J17,$O$17:$O$18)-$O$20)))</f>
        <v>1.5585539782968507E-2</v>
      </c>
      <c r="U17" s="1">
        <f>1/(1+EXP(-(MMULT(I17:J17,$P$17:$P$18)-$P$20)))</f>
        <v>0.60566292889013462</v>
      </c>
      <c r="W17" s="14" t="s">
        <v>49</v>
      </c>
      <c r="X17" s="11">
        <v>2</v>
      </c>
      <c r="Z17" s="15">
        <f>1/(1+EXP(-(MMULT(R17:U17,$X$17:$X$20)-$X$22)))</f>
        <v>0.99999762466339515</v>
      </c>
      <c r="AB17" s="15">
        <f>IF(OR(AND(C17=1,Z17&lt;0.5),AND(C17=0,Z17&gt;=0.5)),1,0)</f>
        <v>0</v>
      </c>
      <c r="AD17" s="32">
        <f>AVERAGE(AB17:AB26)</f>
        <v>0.1</v>
      </c>
    </row>
    <row r="18" spans="1:30" ht="20.399999999999999" thickBot="1">
      <c r="A18" s="3">
        <v>43</v>
      </c>
      <c r="B18" s="3">
        <v>11</v>
      </c>
      <c r="C18" s="20">
        <v>1</v>
      </c>
      <c r="D18" s="20"/>
      <c r="E18" s="12" t="s">
        <v>21</v>
      </c>
      <c r="F18" s="13">
        <f>STDEV(A17:A28)</f>
        <v>16.928324837921259</v>
      </c>
      <c r="G18" s="13">
        <f>STDEV(B17:B28)</f>
        <v>5.2194275780418922</v>
      </c>
      <c r="I18" s="13">
        <f t="shared" ref="I18:I28" si="8">(A18-$F$17)/$F$18</f>
        <v>-1.4768147610209678E-2</v>
      </c>
      <c r="J18" s="13">
        <f t="shared" ref="J18:J28" si="9">(B18-$G$17)/$G$18</f>
        <v>0.15965990922820031</v>
      </c>
      <c r="K18" s="13"/>
      <c r="M18" s="11">
        <v>-8</v>
      </c>
      <c r="N18" s="11">
        <v>6.2</v>
      </c>
      <c r="O18" s="11">
        <v>0.9</v>
      </c>
      <c r="P18" s="11">
        <v>3.1</v>
      </c>
      <c r="R18" s="1">
        <f t="shared" ref="R18:R28" si="10">1/(1+EXP(-(MMULT(I18:J18,$M$17:$M$18)-$M$20)))</f>
        <v>0.64332095255913657</v>
      </c>
      <c r="S18" s="1">
        <f t="shared" ref="S18:S28" si="11">1/(1+EXP(-(MMULT(I18:J18,$N$17:$N$18)-$N$20)))</f>
        <v>0.89622112105006602</v>
      </c>
      <c r="T18" s="1">
        <f t="shared" ref="T18:T28" si="12">1/(1+EXP(-(MMULT(I18:J18,$O$17:$O$18)-$O$20)))</f>
        <v>1.9234579478412218E-2</v>
      </c>
      <c r="U18" s="1">
        <f t="shared" ref="U18:U28" si="13">1/(1+EXP(-(MMULT(I18:J18,$P$17:$P$18)-$P$20)))</f>
        <v>0.17667763460001212</v>
      </c>
      <c r="W18" s="17" t="s">
        <v>50</v>
      </c>
      <c r="X18" s="11">
        <v>12</v>
      </c>
      <c r="Z18" s="15">
        <f t="shared" ref="Z18:Z28" si="14">1/(1+EXP(-(MMULT(R18:U18,$X$17:$X$20)-$X$22)))</f>
        <v>0.99998706628428879</v>
      </c>
      <c r="AB18" s="15">
        <f t="shared" ref="AB18:AB28" si="15">IF(OR(AND(C18=1,Z18&lt;0.5),AND(C18=0,Z18&gt;=0.5)),1,0)</f>
        <v>0</v>
      </c>
    </row>
    <row r="19" spans="1:30" ht="20.399999999999999" thickBot="1">
      <c r="A19" s="3">
        <v>50</v>
      </c>
      <c r="B19" s="3">
        <v>9</v>
      </c>
      <c r="C19" s="20">
        <v>1</v>
      </c>
      <c r="D19" s="20"/>
      <c r="I19" s="13">
        <f t="shared" si="8"/>
        <v>0.39873998547566131</v>
      </c>
      <c r="J19" s="13">
        <f t="shared" si="9"/>
        <v>-0.22352387291948017</v>
      </c>
      <c r="K19" s="13"/>
      <c r="M19" s="18"/>
      <c r="N19" s="18"/>
      <c r="O19" s="18"/>
      <c r="P19" s="18"/>
      <c r="R19" s="1">
        <f t="shared" si="10"/>
        <v>0.99937482329791061</v>
      </c>
      <c r="S19" s="1">
        <f t="shared" si="11"/>
        <v>0.67508038392461722</v>
      </c>
      <c r="T19" s="1">
        <f t="shared" si="12"/>
        <v>0.10269821019326798</v>
      </c>
      <c r="U19" s="1">
        <f t="shared" si="13"/>
        <v>0.14481979462163241</v>
      </c>
      <c r="W19" s="17" t="s">
        <v>51</v>
      </c>
      <c r="X19" s="11">
        <v>-10</v>
      </c>
      <c r="Z19" s="15">
        <f t="shared" si="14"/>
        <v>0.99976413412103182</v>
      </c>
      <c r="AB19" s="15">
        <f t="shared" si="15"/>
        <v>0</v>
      </c>
    </row>
    <row r="20" spans="1:30" ht="20.399999999999999" thickBot="1">
      <c r="A20" s="3">
        <v>57</v>
      </c>
      <c r="B20" s="3">
        <v>14</v>
      </c>
      <c r="C20" s="20">
        <v>1</v>
      </c>
      <c r="D20" s="20"/>
      <c r="I20" s="13">
        <f t="shared" si="8"/>
        <v>0.81224811856153234</v>
      </c>
      <c r="J20" s="13">
        <f t="shared" si="9"/>
        <v>0.73443558244972107</v>
      </c>
      <c r="K20" s="13"/>
      <c r="L20" s="14" t="s">
        <v>23</v>
      </c>
      <c r="M20" s="11">
        <v>-2</v>
      </c>
      <c r="N20" s="11">
        <v>-1.2</v>
      </c>
      <c r="O20" s="11">
        <v>4</v>
      </c>
      <c r="P20" s="11">
        <v>2</v>
      </c>
      <c r="R20" s="1">
        <f t="shared" si="10"/>
        <v>0.96877303600988296</v>
      </c>
      <c r="S20" s="1">
        <f t="shared" si="11"/>
        <v>0.99951051702974769</v>
      </c>
      <c r="T20" s="1">
        <f t="shared" si="12"/>
        <v>0.69071357249898024</v>
      </c>
      <c r="U20" s="1">
        <f t="shared" si="13"/>
        <v>0.89519320681739945</v>
      </c>
      <c r="W20" s="17" t="s">
        <v>52</v>
      </c>
      <c r="X20" s="11">
        <v>4</v>
      </c>
      <c r="Z20" s="15">
        <f t="shared" si="14"/>
        <v>0.99990906815741287</v>
      </c>
      <c r="AB20" s="15">
        <f t="shared" si="15"/>
        <v>0</v>
      </c>
    </row>
    <row r="21" spans="1:30" ht="16.8" thickBot="1">
      <c r="A21" s="3">
        <v>71</v>
      </c>
      <c r="B21" s="3">
        <v>5</v>
      </c>
      <c r="C21" s="23">
        <v>0</v>
      </c>
      <c r="D21" s="23"/>
      <c r="I21" s="13">
        <f t="shared" si="8"/>
        <v>1.6392643847332744</v>
      </c>
      <c r="J21" s="13">
        <f t="shared" si="9"/>
        <v>-0.98989143721484119</v>
      </c>
      <c r="K21" s="13"/>
      <c r="R21" s="1">
        <f t="shared" si="10"/>
        <v>0.99999999998073075</v>
      </c>
      <c r="S21" s="1">
        <f t="shared" si="11"/>
        <v>0.23739426817380857</v>
      </c>
      <c r="T21" s="1">
        <f t="shared" si="12"/>
        <v>0.96980287384687425</v>
      </c>
      <c r="U21" s="1">
        <f t="shared" si="13"/>
        <v>0.21444193552758084</v>
      </c>
      <c r="X21" s="18"/>
      <c r="Z21" s="15">
        <f t="shared" si="14"/>
        <v>5.0088386196203635E-3</v>
      </c>
      <c r="AB21" s="15">
        <f t="shared" si="15"/>
        <v>0</v>
      </c>
    </row>
    <row r="22" spans="1:30" ht="16.8" thickBot="1">
      <c r="A22" s="3">
        <v>20</v>
      </c>
      <c r="B22" s="3">
        <v>5</v>
      </c>
      <c r="C22" s="23">
        <v>0</v>
      </c>
      <c r="D22" s="23"/>
      <c r="I22" s="13">
        <f t="shared" si="8"/>
        <v>-1.3734377277495002</v>
      </c>
      <c r="J22" s="13">
        <f t="shared" si="9"/>
        <v>-0.98989143721484119</v>
      </c>
      <c r="K22" s="13"/>
      <c r="R22" s="1">
        <f t="shared" si="10"/>
        <v>8.0039678155105556E-2</v>
      </c>
      <c r="S22" s="1">
        <f t="shared" si="11"/>
        <v>3.0459171341990177E-4</v>
      </c>
      <c r="T22" s="1">
        <f t="shared" si="12"/>
        <v>6.8214293465095242E-6</v>
      </c>
      <c r="U22" s="1">
        <f t="shared" si="13"/>
        <v>2.671133712554703E-4</v>
      </c>
      <c r="W22" s="17" t="s">
        <v>30</v>
      </c>
      <c r="X22" s="11">
        <v>1.3</v>
      </c>
      <c r="Z22" s="15">
        <f t="shared" si="14"/>
        <v>0.24319071713113627</v>
      </c>
      <c r="AB22" s="15">
        <f t="shared" si="15"/>
        <v>0</v>
      </c>
    </row>
    <row r="23" spans="1:30">
      <c r="A23" s="3">
        <v>53</v>
      </c>
      <c r="B23" s="3">
        <v>12</v>
      </c>
      <c r="C23" s="20">
        <v>1</v>
      </c>
      <c r="D23" s="20"/>
      <c r="I23" s="13">
        <f t="shared" si="8"/>
        <v>0.57595775679817751</v>
      </c>
      <c r="J23" s="13">
        <f t="shared" si="9"/>
        <v>0.35125180030204056</v>
      </c>
      <c r="K23" s="13"/>
      <c r="R23" s="1">
        <f t="shared" si="10"/>
        <v>0.98755121595686102</v>
      </c>
      <c r="S23" s="1">
        <f t="shared" si="11"/>
        <v>0.99100868335838765</v>
      </c>
      <c r="T23" s="1">
        <f t="shared" si="12"/>
        <v>0.32158685019883293</v>
      </c>
      <c r="U23" s="1">
        <f t="shared" si="13"/>
        <v>0.60194680406246437</v>
      </c>
      <c r="Z23" s="15">
        <f t="shared" si="14"/>
        <v>0.99999218240162779</v>
      </c>
      <c r="AB23" s="15">
        <f t="shared" si="15"/>
        <v>0</v>
      </c>
      <c r="AD23" s="26" t="s">
        <v>32</v>
      </c>
    </row>
    <row r="24" spans="1:30">
      <c r="A24" s="3">
        <v>62</v>
      </c>
      <c r="B24" s="3">
        <v>1</v>
      </c>
      <c r="C24" s="20">
        <v>0</v>
      </c>
      <c r="D24" s="20"/>
      <c r="I24" s="13">
        <f t="shared" si="8"/>
        <v>1.1076110707657258</v>
      </c>
      <c r="J24" s="13">
        <f t="shared" si="9"/>
        <v>-1.7562590015102022</v>
      </c>
      <c r="K24" s="13"/>
      <c r="R24" s="1">
        <f t="shared" si="10"/>
        <v>0.9999999999949849</v>
      </c>
      <c r="S24" s="1">
        <f t="shared" si="11"/>
        <v>7.9109558620228909E-4</v>
      </c>
      <c r="T24" s="1">
        <f t="shared" si="12"/>
        <v>0.51703923915455663</v>
      </c>
      <c r="U24" s="1">
        <f t="shared" si="13"/>
        <v>7.4143393476586768E-3</v>
      </c>
      <c r="Z24" s="15">
        <f t="shared" si="14"/>
        <v>1.1759764705010547E-2</v>
      </c>
      <c r="AB24" s="15">
        <f t="shared" si="15"/>
        <v>0</v>
      </c>
      <c r="AD24" s="15">
        <f>SUMXMY2(C17:C28, Z17:Z28)</f>
        <v>1.3284896045439485</v>
      </c>
    </row>
    <row r="25" spans="1:30">
      <c r="A25" s="3">
        <v>33</v>
      </c>
      <c r="B25" s="3">
        <v>6</v>
      </c>
      <c r="C25" s="20">
        <v>1</v>
      </c>
      <c r="D25" s="20"/>
      <c r="I25" s="13">
        <f t="shared" si="8"/>
        <v>-0.60549405201859685</v>
      </c>
      <c r="J25" s="13">
        <f t="shared" si="9"/>
        <v>-0.79829954614100085</v>
      </c>
      <c r="K25" s="13"/>
      <c r="R25" s="1">
        <f t="shared" si="10"/>
        <v>0.94964306756074579</v>
      </c>
      <c r="S25" s="1">
        <f t="shared" si="11"/>
        <v>5.8114688447674307E-3</v>
      </c>
      <c r="T25" s="1">
        <f t="shared" si="12"/>
        <v>4.0691906137563781E-4</v>
      </c>
      <c r="U25" s="1">
        <f t="shared" si="13"/>
        <v>2.8223335491515877E-3</v>
      </c>
      <c r="Z25" s="15">
        <f t="shared" si="14"/>
        <v>0.66289986096858711</v>
      </c>
      <c r="AB25" s="15">
        <f t="shared" si="15"/>
        <v>0</v>
      </c>
    </row>
    <row r="26" spans="1:30">
      <c r="A26" s="3">
        <v>25</v>
      </c>
      <c r="B26" s="3">
        <v>15</v>
      </c>
      <c r="C26" s="20">
        <v>0</v>
      </c>
      <c r="D26" s="20"/>
      <c r="I26" s="13">
        <f t="shared" si="8"/>
        <v>-1.0780747755453066</v>
      </c>
      <c r="J26" s="13">
        <f t="shared" si="9"/>
        <v>0.9260274735235613</v>
      </c>
      <c r="K26" s="13"/>
      <c r="R26" s="1">
        <f t="shared" si="10"/>
        <v>2.7379312283345635E-7</v>
      </c>
      <c r="S26" s="1">
        <f t="shared" si="11"/>
        <v>0.98859009960548394</v>
      </c>
      <c r="T26" s="1">
        <f t="shared" si="12"/>
        <v>1.7253176806324638E-4</v>
      </c>
      <c r="U26" s="1">
        <f t="shared" si="13"/>
        <v>0.16674322192269514</v>
      </c>
      <c r="Z26" s="15">
        <f t="shared" si="14"/>
        <v>0.99998670792553201</v>
      </c>
      <c r="AB26" s="15">
        <f t="shared" si="15"/>
        <v>1</v>
      </c>
    </row>
    <row r="27" spans="1:30">
      <c r="A27" s="3">
        <v>48</v>
      </c>
      <c r="B27" s="3">
        <v>19</v>
      </c>
      <c r="C27" s="20">
        <v>1</v>
      </c>
      <c r="D27" s="20"/>
      <c r="I27" s="13">
        <f t="shared" si="8"/>
        <v>0.28059480459398389</v>
      </c>
      <c r="J27" s="13">
        <f t="shared" si="9"/>
        <v>1.6923950378189223</v>
      </c>
      <c r="K27" s="13"/>
      <c r="R27" s="1">
        <f t="shared" si="10"/>
        <v>1.2170277315907838E-4</v>
      </c>
      <c r="S27" s="1">
        <f t="shared" si="11"/>
        <v>0.99999561894794009</v>
      </c>
      <c r="T27" s="1">
        <f t="shared" si="12"/>
        <v>0.26003032197245646</v>
      </c>
      <c r="U27" s="1">
        <f t="shared" si="13"/>
        <v>0.97999945843882386</v>
      </c>
      <c r="Z27" s="15">
        <f t="shared" si="14"/>
        <v>0.99999397679754121</v>
      </c>
      <c r="AB27" s="15">
        <f t="shared" si="15"/>
        <v>0</v>
      </c>
    </row>
    <row r="28" spans="1:30">
      <c r="A28" s="3">
        <v>17</v>
      </c>
      <c r="B28" s="3">
        <v>10</v>
      </c>
      <c r="C28" s="20">
        <v>0</v>
      </c>
      <c r="D28" s="20"/>
      <c r="I28" s="13">
        <f t="shared" si="8"/>
        <v>-1.5506554990720163</v>
      </c>
      <c r="J28" s="13">
        <f t="shared" si="9"/>
        <v>-3.1931981845639924E-2</v>
      </c>
      <c r="K28" s="13"/>
      <c r="R28" s="1">
        <f t="shared" si="10"/>
        <v>8.2900718068640541E-6</v>
      </c>
      <c r="S28" s="1">
        <f t="shared" si="11"/>
        <v>7.1459314717543104E-2</v>
      </c>
      <c r="T28" s="1">
        <f t="shared" si="12"/>
        <v>6.5431728026115422E-6</v>
      </c>
      <c r="U28" s="1">
        <f t="shared" si="13"/>
        <v>3.4514728207166497E-3</v>
      </c>
      <c r="Z28" s="15">
        <f t="shared" si="14"/>
        <v>0.39442935385260885</v>
      </c>
      <c r="AB28" s="15">
        <f t="shared" si="15"/>
        <v>0</v>
      </c>
    </row>
  </sheetData>
  <mergeCells count="12">
    <mergeCell ref="W15:X15"/>
    <mergeCell ref="A1:C1"/>
    <mergeCell ref="E1:G1"/>
    <mergeCell ref="I1:J1"/>
    <mergeCell ref="M1:P1"/>
    <mergeCell ref="R1:U1"/>
    <mergeCell ref="W1:X1"/>
    <mergeCell ref="A15:C15"/>
    <mergeCell ref="E15:G15"/>
    <mergeCell ref="I15:J15"/>
    <mergeCell ref="M15:P15"/>
    <mergeCell ref="R15:U1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A18"/>
  <sheetViews>
    <sheetView tabSelected="1" zoomScale="85" zoomScaleNormal="85" workbookViewId="0">
      <selection activeCell="A3" sqref="A3"/>
    </sheetView>
  </sheetViews>
  <sheetFormatPr defaultRowHeight="16.2"/>
  <cols>
    <col min="1" max="1" width="171.21875" customWidth="1"/>
  </cols>
  <sheetData>
    <row r="1" spans="1:1" s="27" customFormat="1">
      <c r="A1" s="27" t="s">
        <v>36</v>
      </c>
    </row>
    <row r="2" spans="1:1">
      <c r="A2" s="27" t="s">
        <v>35</v>
      </c>
    </row>
    <row r="3" spans="1:1">
      <c r="A3" s="27" t="s">
        <v>59</v>
      </c>
    </row>
    <row r="5" spans="1:1" ht="19.8">
      <c r="A5" s="30" t="s">
        <v>55</v>
      </c>
    </row>
    <row r="10" spans="1:1" ht="15" customHeight="1"/>
    <row r="17" spans="1:1" s="27" customFormat="1" ht="18.600000000000001">
      <c r="A17" s="27" t="s">
        <v>53</v>
      </c>
    </row>
    <row r="18" spans="1:1" s="27" customFormat="1" ht="19.8">
      <c r="A18" s="27" t="s">
        <v>54</v>
      </c>
    </row>
  </sheetData>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A8"/>
  <sheetViews>
    <sheetView zoomScale="115" zoomScaleNormal="115" workbookViewId="0"/>
  </sheetViews>
  <sheetFormatPr defaultRowHeight="16.2"/>
  <cols>
    <col min="1" max="1" width="159.33203125" customWidth="1"/>
  </cols>
  <sheetData>
    <row r="1" spans="1:1" s="27" customFormat="1">
      <c r="A1" s="27" t="s">
        <v>60</v>
      </c>
    </row>
    <row r="2" spans="1:1" s="27" customFormat="1">
      <c r="A2" s="27" t="s">
        <v>34</v>
      </c>
    </row>
    <row r="4" spans="1:1" ht="210.6">
      <c r="A4" s="31" t="s">
        <v>56</v>
      </c>
    </row>
    <row r="6" spans="1:1" ht="129.6">
      <c r="A6" s="31" t="s">
        <v>57</v>
      </c>
    </row>
    <row r="8" spans="1:1" ht="113.4">
      <c r="A8" s="31" t="s">
        <v>58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
  <sheetViews>
    <sheetView workbookViewId="0">
      <selection activeCell="T28" sqref="T28"/>
    </sheetView>
  </sheetViews>
  <sheetFormatPr defaultRowHeight="16.2"/>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
  <sheetViews>
    <sheetView workbookViewId="0">
      <selection activeCell="G29" sqref="G29"/>
    </sheetView>
  </sheetViews>
  <sheetFormatPr defaultRowHeight="16.2"/>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5</vt:i4>
      </vt:variant>
    </vt:vector>
  </HeadingPairs>
  <TitlesOfParts>
    <vt:vector size="5" baseType="lpstr">
      <vt:lpstr>1.(50)_神經網路_分類_期末考題目 陽光旅行社</vt:lpstr>
      <vt:lpstr>2.(3５)類神經網路申論題</vt:lpstr>
      <vt:lpstr>3.(15)KNN及類神經網路的不同</vt:lpstr>
      <vt:lpstr>附圖1</vt:lpstr>
      <vt:lpstr>附圖2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2022-01-07T00:06:05Z</dcterms:created>
  <dcterms:modified xsi:type="dcterms:W3CDTF">2023-01-10T06:22:32Z</dcterms:modified>
</cp:coreProperties>
</file>